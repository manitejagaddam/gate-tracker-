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Dashboard" sheetId="1" state="visible" r:id="rId2"/>
    <sheet name="116-Day Detailed Plan" sheetId="2" state="visible" r:id="rId3"/>
    <sheet name="High-Yield Topic Checklist" sheetId="3" state="visible" r:id="rId4"/>
    <sheet name="Mock &amp; Holiday Log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<sst xmlns="http://schemas.openxmlformats.org/spreadsheetml/2006/main" count="1977" uniqueCount="894">
  <si>
    <t xml:space="preserve">GATE 2027 CSE (IIT Madras) — AIR &lt; 10 Master Strategy &amp; High-Frequency Topic Analytics</t>
  </si>
  <si>
    <t xml:space="preserve">6.5–7.0 Hr/Day Plan | Starts Oct 15, 2026 | Full Syllabus Done by Nov 13, 2026 | 16 Weekly Mocks | 12 Telugu Holidays Off | Grounded in 2023–2025 GATE Papers</t>
  </si>
  <si>
    <t xml:space="preserve">TOTAL PREP WINDOW</t>
  </si>
  <si>
    <t xml:space="preserve">SYLLABUS COMPLETION</t>
  </si>
  <si>
    <t xml:space="preserve">TOTAL QUESTION TARGET</t>
  </si>
  <si>
    <t xml:space="preserve">AIR &lt; 10 SCORE BENCHMARK</t>
  </si>
  <si>
    <t xml:space="preserve">116 Days</t>
  </si>
  <si>
    <t xml:space="preserve">Nov 13, 2026</t>
  </si>
  <si>
    <t xml:space="preserve">85.0+ / 100</t>
  </si>
  <si>
    <t xml:space="preserve">104 Study Days + 12 Festival Holidays</t>
  </si>
  <si>
    <t xml:space="preserve">21 Active Days (TOC 75%, CD 100%, CN 75%)</t>
  </si>
  <si>
    <t xml:space="preserve">Timed Topic PYQs + 16 Mocks + 15 Past Papers</t>
  </si>
  <si>
    <t xml:space="preserve">GA: 14.5+ | Math: 12+ | Core CS: 58.5+</t>
  </si>
  <si>
    <t xml:space="preserve">Table 1: Subject-Wise Official GATE Marks (2023–2025), Current Completion Status &amp; Most Frequent PYQ Topics</t>
  </si>
  <si>
    <t xml:space="preserve">Subject / Section</t>
  </si>
  <si>
    <t xml:space="preserve">Current Syllabus Done</t>
  </si>
  <si>
    <t xml:space="preserve">GATE 2023 Marks</t>
  </si>
  <si>
    <t xml:space="preserve">GATE 2024 Marks</t>
  </si>
  <si>
    <t xml:space="preserve">GATE 2025 Marks</t>
  </si>
  <si>
    <t xml:space="preserve">3-Yr Avg Marks [Auto]</t>
  </si>
  <si>
    <t xml:space="preserve">AIR &lt;10 Target Marks</t>
  </si>
  <si>
    <t xml:space="preserve">Dominant Q-Types</t>
  </si>
  <si>
    <t xml:space="preserve">Top Most-Frequent / Guaranteed PYQ Topics (2020–2025 Official Trend)</t>
  </si>
  <si>
    <t xml:space="preserve">General Aptitude (GA)</t>
  </si>
  <si>
    <t xml:space="preserve">MCQ (10 Qs)</t>
  </si>
  <si>
    <t xml:space="preserve">Ratios/Percentages, Time &amp; Work, Permutations/Probability, Syllogisms, Data Interpretation, 2D/3D Spatial Folding, Critical Reasoning</t>
  </si>
  <si>
    <t xml:space="preserve">Engineering &amp; Discrete Mathematics</t>
  </si>
  <si>
    <t xml:space="preserve">MCQ + MSQ + NAT</t>
  </si>
  <si>
    <t xml:space="preserve">Graph Connectivity/Coloring/Planarity, Propositional &amp; 1st-Order Logic, Generating Functions &amp; Recurrences, Eigenvalues/Rank, Bayes' Theorem, Distributions, Maxima/Minima</t>
  </si>
  <si>
    <t xml:space="preserve">Programming &amp; Data Structures (P&amp;DS)</t>
  </si>
  <si>
    <t xml:space="preserve">NAT + MCQ</t>
  </si>
  <si>
    <t xml:space="preserve">C Pointers &amp; 2D Array Arithmetic, Static/Global Recursion Stack Tracing, Binary Trees, BST, AVL Rotations, Binary Heaps, Hashing Collision Resolution, Graph Traversals</t>
  </si>
  <si>
    <t xml:space="preserve">Computer Organization &amp; Arch. (COA)</t>
  </si>
  <si>
    <t xml:space="preserve">NAT + MSQ</t>
  </si>
  <si>
    <t xml:space="preserve">Cache Mapping (Direct, Set-Associative, Fully), Effective Memory Access Time (TLB+Cache+Paging), Pipeline Hazards (RAW/WAR/WAW, Stalls, Speedup), Addressing Modes, DMA/Interrupts, IEEE 754</t>
  </si>
  <si>
    <t xml:space="preserve">Operating Systems (OS)</t>
  </si>
  <si>
    <t xml:space="preserve">MSQ + NAT</t>
  </si>
  <si>
    <t xml:space="preserve">Process Synchronization (Semaphores, Mutex, Producer-Consumer, Readers-Writers), CPU Scheduling (SRTF, SJF, RR Turnaround/Waiting), Banker's Deadlock Algorithm, Multi-Level Paging &amp; TLB, LRU/Optimal Page Replacement, Disk Inodes</t>
  </si>
  <si>
    <t xml:space="preserve">Computer Networks (CN) [Pending 75%]</t>
  </si>
  <si>
    <t xml:space="preserve">Classless Addressing (CIDR), Subnetting/Supernetting, IPv4 Fragmentation (MTU/Offsets), Distance Vector (Count-to-Infinity) &amp; OSPF Routing, TCP Flow &amp; Congestion Control (Slow Start/AIMD), Go-Back-N &amp; Selective Repeat, CSMA/CD, DNS/HTTP</t>
  </si>
  <si>
    <t xml:space="preserve">Theory of Computation (TOC) [Pending 75%]</t>
  </si>
  <si>
    <t xml:space="preserve">MSQ + MCQ</t>
  </si>
  <si>
    <t xml:space="preserve">DFA Construction &amp; Minimization (Myhill-Nerode), NFA-to-DFA, Regular Expressions, Closure Properties Matrix (Reg/DCFL/CFL/Rec/RE), CFG &amp; PDA (DPDA vs NPDA), Pumping Lemma, Turing Machines, Halting Problem, Reductions &amp; Rice's Theorem</t>
  </si>
  <si>
    <t xml:space="preserve">Algorithms</t>
  </si>
  <si>
    <t xml:space="preserve">NAT + MCQ + MSQ</t>
  </si>
  <si>
    <t xml:space="preserve">Asymptotic Notation &amp; Master Theorem Recurrences, Dijkstra's &amp; Bellman-Ford Shortest Paths, Prim's &amp; Kruskal's MST, Dynamic Programming (LCS, Matrix Chain, 0/1 Knapsack), Greedy (Huffman Coding), Quick/Merge/Heap Sort</t>
  </si>
  <si>
    <t xml:space="preserve">Database Management Systems (DBMS)</t>
  </si>
  <si>
    <t xml:space="preserve">MSQ + NAT + MCQ</t>
  </si>
  <si>
    <t xml:space="preserve">Functional Dependencies, Candidate Keys &amp; Normal Forms (1NF–BCNF, Lossless Join), SQL Nested/Correlated Queries &amp; Joins, Relational Algebra &amp; TRC, Conflict/View Serializability, 2PL Concurrency, B &amp; B+ Tree Node Splitting/Order</t>
  </si>
  <si>
    <t xml:space="preserve">Compiler Design (CD) [Pending 100%]</t>
  </si>
  <si>
    <t xml:space="preserve">NAT + MSQ + MCQ</t>
  </si>
  <si>
    <t xml:space="preserve">FIRST &amp; FOLLOW Sets, LL(1) Parse Table, LR(0)/SLR(1)/CLR(1)/LALR(1) Item Sets &amp; Conflict Counts, Syntax-Directed Translation (S/L-Attributed Evaluation), 3-Address Code &amp; SSA, Basic Blocks, DAG &amp; Liveness Data-Flow Analysis</t>
  </si>
  <si>
    <t xml:space="preserve">Digital Logic (DL)</t>
  </si>
  <si>
    <t xml:space="preserve">K-Map Minimization (Prime/Essential Implicants, Don't Care), MUX/Decoder Circuit Realization, Synchronous &amp; Ripple Counters (Mod-N, Propagation Delay, Max Clock Frequency), Setup/Hold Time, Booth's &amp; 2's Complement</t>
  </si>
  <si>
    <t xml:space="preserve">Total / Portfolio Average</t>
  </si>
  <si>
    <t xml:space="preserve">65 Questions</t>
  </si>
  <si>
    <t xml:space="preserve">Source: GO Classes (2023–2025 Official GATE CSE Papers) &amp; Made Easy 2027 Analysis</t>
  </si>
  <si>
    <t xml:space="preserve">Table 2: Official GATE CSE Question-Type Shift (2023–2025) &amp; Daily Practice Allocation</t>
  </si>
  <si>
    <t xml:space="preserve">Exam Year / Metric</t>
  </si>
  <si>
    <t xml:space="preserve">MCQs (Negative Marking)</t>
  </si>
  <si>
    <t xml:space="preserve">MSQs (Zero Negative, All-or-None)</t>
  </si>
  <si>
    <t xml:space="preserve">NATs (Zero Negative, Precision)</t>
  </si>
  <si>
    <t xml:space="preserve">Total Questions [Auto]</t>
  </si>
  <si>
    <t xml:space="preserve">Strategic Implication for AIR &lt; 10</t>
  </si>
  <si>
    <t xml:space="preserve">GATE 2023 Official Paper</t>
  </si>
  <si>
    <t xml:space="preserve">Balanced baseline; strong NAT emphasis in COA, OS &amp; P&amp;DS</t>
  </si>
  <si>
    <t xml:space="preserve">GATE 2024 Official Paper</t>
  </si>
  <si>
    <t xml:space="preserve">Sharp MSQ surge (20 Qs); rewards deep theoretical mastery in TOC, OS, DBMS &amp; CN</t>
  </si>
  <si>
    <t xml:space="preserve">GATE 2025 Official Paper</t>
  </si>
  <si>
    <t xml:space="preserve">High MSQ retention (18 Qs); zero partial credit makes MSQ accuracy the #1 rank separator</t>
  </si>
  <si>
    <t xml:space="preserve">3-Year Average Question Mix</t>
  </si>
  <si>
    <t xml:space="preserve">Daily PYQ Target Mix: ~45% MCQ + ~30% MSQ + ~25% NAT across all study blocks</t>
  </si>
  <si>
    <t xml:space="preserve">GATE 2027 CSE — 116-Day Granular Topic-by-Topic &amp; High-Frequency PYQ Master Timetable (6.5–7.0 Hrs/Day)</t>
  </si>
  <si>
    <t xml:space="preserve">HOW TO USE THIS TRACKER: Columns A–M contain your daily scheduled subjects, exact sub-topics, most-frequent PYQ archetypes, and question targets (Oct 15, 2026 – Feb 7, 2027). Log your completed questions in Column N (highlighted in cream) and update Column O ('Status' dropdown: Pending / In Progress / Done / HOLIDAY - OFF). Row 6 shows an example entry in Column N; Totals in Row 122 calculate automatically.</t>
  </si>
  <si>
    <t xml:space="preserve">Day #</t>
  </si>
  <si>
    <t xml:space="preserve">Date</t>
  </si>
  <si>
    <t xml:space="preserve">Weekday</t>
  </si>
  <si>
    <t xml:space="preserve">Phase &amp; Milestone</t>
  </si>
  <si>
    <t xml:space="preserve">Block 1 Subject (3.0h Ph1 / 2.5h Ph2-4)</t>
  </si>
  <si>
    <t xml:space="preserve">Block 1 Granular Sub-Topics, Theorems &amp; High-Frequency Concepts</t>
  </si>
  <si>
    <t xml:space="preserve">Block 1 Topic PYQ &amp; Test Drill (Included in Block 1)</t>
  </si>
  <si>
    <t xml:space="preserve">Block 2 Paired Revision Subject (2.5h)</t>
  </si>
  <si>
    <t xml:space="preserve">Block 2 Granular Revision Sub-Topics &amp; Paired PYQ Combination (30–45 PYQs)</t>
  </si>
  <si>
    <t xml:space="preserve">Block 3 Foundation Subject (1.25h–1.5h)</t>
  </si>
  <si>
    <t xml:space="preserve">Block 3 Math / GA Sub-Topics, Formula Sheet &amp; Error-Register Task</t>
  </si>
  <si>
    <t xml:space="preserve">Target Questions</t>
  </si>
  <si>
    <t xml:space="preserve">Target Study Hrs</t>
  </si>
  <si>
    <t xml:space="preserve">Actual Qs Solved [Input]</t>
  </si>
  <si>
    <t xml:space="preserve">Status [Select]</t>
  </si>
  <si>
    <t xml:space="preserve">Day 1</t>
  </si>
  <si>
    <t xml:space="preserve">Thursday</t>
  </si>
  <si>
    <t xml:space="preserve">Phase 1A: TOC Completion (25% → 38%)</t>
  </si>
  <si>
    <t xml:space="preserve">Theory of Computation (Module 1/6)</t>
  </si>
  <si>
    <t xml:space="preserve">DFA State Minimization (Partitioning / Table-Filling Algorithm), Myhill-Nerode Theorem (Indistinguishable states &amp; Equivalence classes), Closure Properties of Regular Languages (Union, Intersection, Complement, Set Difference, Reversal, Homomorphism, Inverse Homomorphism, Quotient), Regular Pumping Lemma (Contrapositive proof technique &amp; length traps)</t>
  </si>
  <si>
    <t xml:space="preserve">20 Timed Topic PYQs (10 MCQ + 6 MSQ + 4 NAT): Minimal DFA state count for modulo/divisibility &amp; substring languages; closure property MSQ traps</t>
  </si>
  <si>
    <t xml:space="preserve">C Programming &amp; Data Structures</t>
  </si>
  <si>
    <t xml:space="preserve">C Pointers (Pointer arithmetic, array of pointers vs pointer to 2D array `int (*p)[N]`, function pointers), Strings, Dynamic Memory (`malloc/calloc/free`), Recursion Stack Frame &amp; Static/Global Variable Output Tracing — Solve 30 Timed PYQs</t>
  </si>
  <si>
    <t xml:space="preserve">Engineering Math: Linear Algebra</t>
  </si>
  <si>
    <t xml:space="preserve">Matrix Algebra, Rank of Matrix (Row Echelon Form), Determinants &amp; Properties, Homogeneous &amp; Non-Homogeneous System of Linear Equations (Unique, Infinite, No Solution conditions) — Solve 15 PYQs + Log Errors</t>
  </si>
  <si>
    <t xml:space="preserve">Pending</t>
  </si>
  <si>
    <t xml:space="preserve">Day 2</t>
  </si>
  <si>
    <t xml:space="preserve">Friday</t>
  </si>
  <si>
    <t xml:space="preserve">Phase 1A: TOC Completion (38% → 52%)</t>
  </si>
  <si>
    <t xml:space="preserve">Theory of Computation (Module 2/6)</t>
  </si>
  <si>
    <t xml:space="preserve">Context-Free Grammars (CFG Design for equal/unequal counts, palindromes, nested structures), Parse Trees, Leftmost/Rightmost Derivations, Inherent Ambiguity vs Grammar Ambiguity, Simplification of CFG (Eliminating Useless symbols, Epsilon-productions, Unit-productions), Chomsky Normal Form (CNF) &amp; Greibach Normal Form (GNF), CFL Pumping Lemma</t>
  </si>
  <si>
    <t xml:space="preserve">20 Timed Topic PYQs (10 MCQ + 7 MSQ + 3 NAT): Identifying language of a given CFG, number of steps in CNF derivation (2n-1 rule), ambiguous grammar identification</t>
  </si>
  <si>
    <t xml:space="preserve">Data Structures (Linked Lists, Stacks &amp; Queues)</t>
  </si>
  <si>
    <t xml:space="preserve">Singly, Doubly &amp; Circular Linked Lists (Reversal, cycle detection, merge complexity), Stack &amp; Queue implementations (Circular array queue modulo arithmetic, Queue using 2 Stacks amortized analysis), Infix/Postfix/Prefix Evaluation &amp; Conversion — Solve 30 Timed PYQs</t>
  </si>
  <si>
    <t xml:space="preserve">Eigenvalues &amp; Eigenvectors, Characteristic Polynomial, Trace &amp; Determinant Identities, Cayley-Hamilton Theorem, Algebraic vs Geometric Multiplicity, Matrix Diagonalization &amp; LU Decomposition — Solve 15 PYQs + Update Formula Sheet</t>
  </si>
  <si>
    <t xml:space="preserve">Day 3</t>
  </si>
  <si>
    <t xml:space="preserve">Saturday</t>
  </si>
  <si>
    <t xml:space="preserve">WEEKLY FULL-LENGTH MOCK + POST-MORTEM</t>
  </si>
  <si>
    <t xml:space="preserve">Weekly Mock Test 1 (Shifted from Sun due to Bathukamma)</t>
  </si>
  <si>
    <t xml:space="preserve">Full 65-Question / 100-Mark CBT Simulation (2:00–5:00 PM IST): Baseline check on completed subjects + 25% TOC/CN</t>
  </si>
  <si>
    <t xml:space="preserve">65 Mock Questions (34 MCQ + 16 MSQ + 15 NAT)</t>
  </si>
  <si>
    <t xml:space="preserve">2.0h Deep Post-Mortem Analysis</t>
  </si>
  <si>
    <t xml:space="preserve">Untimed re-solve of all wrong &amp; unattempted questions; tag mistakes into Conceptual Gap vs Silly Slip vs Time Trap</t>
  </si>
  <si>
    <t xml:space="preserve">1.5h Weak-Topic Remediation</t>
  </si>
  <si>
    <t xml:space="preserve">Solve 20 targeted PYQs from the 2 lowest-scoring subjects in Mock 1 + update Error Register</t>
  </si>
  <si>
    <t xml:space="preserve">Day 4</t>
  </si>
  <si>
    <t xml:space="preserve">Sunday</t>
  </si>
  <si>
    <t xml:space="preserve">FESTIVAL / PUBLIC HOLIDAY (ZERO WORK)</t>
  </si>
  <si>
    <t xml:space="preserve">HOLIDAY: Saddula Bathukamma / Maha Saptami</t>
  </si>
  <si>
    <t xml:space="preserve">Telangana State Festival &amp; Holidays in India Calendar — Complete Mental Rest</t>
  </si>
  <si>
    <t xml:space="preserve">0 Questions (Complete Festival Rest)</t>
  </si>
  <si>
    <t xml:space="preserve">OFF — Festival Break</t>
  </si>
  <si>
    <t xml:space="preserve">Zero revision or problem-solving assigned; recharge mentally with family</t>
  </si>
  <si>
    <t xml:space="preserve">Zero work assigned</t>
  </si>
  <si>
    <t xml:space="preserve">HOLIDAY - OFF</t>
  </si>
  <si>
    <t xml:space="preserve">Day 5</t>
  </si>
  <si>
    <t xml:space="preserve">Monday</t>
  </si>
  <si>
    <t xml:space="preserve">HOLIDAY: Maharnavami / Maha Ashtami (Dussehra Block)</t>
  </si>
  <si>
    <t xml:space="preserve">Telangana Dasara Holiday Block — Zero Study Assigned</t>
  </si>
  <si>
    <t xml:space="preserve">Day 6</t>
  </si>
  <si>
    <t xml:space="preserve">Tuesday</t>
  </si>
  <si>
    <t xml:space="preserve">HOLIDAY: Dussehra / Vijaya Dasami</t>
  </si>
  <si>
    <t xml:space="preserve">National &amp; Telangana Public Holiday — Zero Study Assigned</t>
  </si>
  <si>
    <t xml:space="preserve">Day 7</t>
  </si>
  <si>
    <t xml:space="preserve">Wednesday</t>
  </si>
  <si>
    <t xml:space="preserve">HOLIDAY: Following Day of Vijaya Dasami</t>
  </si>
  <si>
    <t xml:space="preserve">Telangana Official State Holiday — Zero Study Assigned</t>
  </si>
  <si>
    <t xml:space="preserve">Day 8</t>
  </si>
  <si>
    <t xml:space="preserve">Phase 1A: TOC Completion (52% → 66%)</t>
  </si>
  <si>
    <t xml:space="preserve">Theory of Computation (Module 3/6)</t>
  </si>
  <si>
    <t xml:space="preserve">Pushdown Automata (PDA): Transitions, Acceptance by Final State vs Empty Stack, Deterministic PDA (DPDA) vs Non-Deterministic PDA (NPDA), DCFL vs CFL Hierarchy, Closure Properties of DCFLs (Closed under Complement &amp; Intersection with Regular; NOT closed under Union/Intersection/Homomorphism) &amp; CFLs (Closed under Union, Concatenation, Kleene Star; NOT closed under Intersection/Complement)</t>
  </si>
  <si>
    <t xml:space="preserve">20 Timed Topic PYQs (8 MCQ + 10 MSQ + 2 NAT): DPDA vs NPDA power comparison (`L = ww^R` vs `wcw^R`), DCFL/CFL closure table MSQs</t>
  </si>
  <si>
    <t xml:space="preserve">Data Structures (Trees, Heaps &amp; Hashing)</t>
  </si>
  <si>
    <t xml:space="preserve">Binary Trees (Height/Node bounds, Pre/In/Post/Level-order reconstruction), Binary Search Trees (Insertion/Deletion/LCA), AVL Tree Rotations (LL, RR, LR, RL &amp; min/max nodes for height h recurrence), Binary Min/Max Heaps (`O(n)` Build-Heap proof, Heapify), Hashing (Chaining, Linear/Quadratic Probing, Double Hashing expected probes) — Solve 30 Timed PYQs</t>
  </si>
  <si>
    <t xml:space="preserve">Discrete Math &amp; General Aptitude</t>
  </si>
  <si>
    <t xml:space="preserve">Propositional Logic (Truth tables, Tautology, Contradiction, Logical Equivalence, Horn Clauses, NAND/NOR completeness) + GA Numerical Ratios, Percentages &amp; Mixtures — Solve 18 PYQs</t>
  </si>
  <si>
    <t xml:space="preserve">Day 9</t>
  </si>
  <si>
    <t xml:space="preserve">Phase 1A: TOC Completion (66% → 80%)</t>
  </si>
  <si>
    <t xml:space="preserve">Theory of Computation (Module 4/6)</t>
  </si>
  <si>
    <t xml:space="preserve">Turing Machines (TM): Standard TM formal definition, Instantaneous Descriptions (ID), Multi-tape &amp; Non-Deterministic TM equivalence, Linear Bounded Automata (LBA) &amp; Context-Sensitive Languages (CSL), Recursive (Decidable / Halting TM) vs Recursively Enumerable (RE / Turing-Recognizable) Languages, Complete Chomsky HierarchyInclusion Chain</t>
  </si>
  <si>
    <t xml:space="preserve">20 Timed Topic PYQs (10 MCQ + 8 MSQ + 2 NAT): Closure properties of Recursive and RE languages (Complement of RE is co-RE; L and L-complement both RE iff L is Recursive)</t>
  </si>
  <si>
    <t xml:space="preserve">Algorithms (Asymptotics, Recurrences &amp; Sorting)</t>
  </si>
  <si>
    <t xml:space="preserve">Asymptotic Notations (Big-O, Omega, Theta, Little-o, Little-omega comparisons for log/poly/exp functions), Recurrence Relations (Master Theorem all 3 cases + logarithmic extensions, Recursion Tree, Substitution), Sorting Algorithms (Insertion, Merge, Quick, Heap, Counting, Radix — Worst/Avg/Best cases, In-place &amp; Stability table) — Solve 30 Timed PYQs</t>
  </si>
  <si>
    <t xml:space="preserve">Discrete Mathematics (First-Order Logic &amp; Sets)</t>
  </si>
  <si>
    <t xml:space="preserve">First-Order Predicate Logic (Nested Quantifiers `∀x∃y` vs `∃y∀x`, Negation of quantified statements, Free vs Bound variables, Validity &amp; Satisfiability), Set Theory, Power Sets &amp; Russell's Paradox — Solve 18 PYQs</t>
  </si>
  <si>
    <t xml:space="preserve">Day 10</t>
  </si>
  <si>
    <t xml:space="preserve">Phase 1A: TOC Completion (80% → 92%)</t>
  </si>
  <si>
    <t xml:space="preserve">Theory of Computation (Module 5/6)</t>
  </si>
  <si>
    <t xml:space="preserve">Decidability &amp; Undecidability: Halting Problem (`HALT_TM`), Diagonalization Proof, Post Correspondence Problem (PCP &amp; Modified PCP), Many-One / Mapping Reducibility (`A &lt;=_m B`: if A is undecidable, B is undecidable; if B is decidable, A is decidable; polynomial-time reductions)</t>
  </si>
  <si>
    <t xml:space="preserve">20 Timed Topic PYQs (8 MCQ + 12 MSQ): Reduction direction traps (`L_1 &lt;=_m L_2`), decidability of Membership, Emptiness, Finiteness, Equivalence &amp; Ambiguity across Regular, DCFL, CFL, CSL, Recursive, and RE</t>
  </si>
  <si>
    <t xml:space="preserve">Algorithms (Divide &amp; Conquer + Greedy)</t>
  </si>
  <si>
    <t xml:space="preserve">Divide &amp; Conquer (Binary Search variants, Finding Min/Max in `3n/2 - 2` comparisons, Merge Sort inversion count, Strassen's Matrix Multiplication, Karatsuba), Greedy Paradigm (Fractional Knapsack, Job Sequencing with Deadlines, Activity Selection, Huffman Coding optimal prefix tree &amp; average code length) — Solve 30 Timed PYQs</t>
  </si>
  <si>
    <t xml:space="preserve">Discrete Mathematics (Relations, Posets &amp; Lattices)</t>
  </si>
  <si>
    <t xml:space="preserve">Relations (Reflexive, Symmetric, Antisymmetric, Transitive counting formulas on n elements), Equivalence Relations &amp; Partitions, Partial Orders (Posets), Hasse Diagrams, Maximal/Minimal/Greatest/Least elements, Lattices (Bounded, Distributive, Complemented, Boolean Algebra) &amp; Functions (Injective, Surjective, Bijective counts) — Solve 18 PYQs</t>
  </si>
  <si>
    <t xml:space="preserve">Day 11</t>
  </si>
  <si>
    <t xml:space="preserve">Weekly Mock Test 2 (NPTEL / GO Classes Slot)</t>
  </si>
  <si>
    <t xml:space="preserve">Full 65-Question / 100-Mark CBT Simulation (2:00–5:00 PM IST): Includes Regular Languages, CFG, PDA &amp; Turing Machines</t>
  </si>
  <si>
    <t xml:space="preserve">65 Mock Questions</t>
  </si>
  <si>
    <t xml:space="preserve">Analyze time spent per question; re-solve missed TOC, P&amp;DS, and Algorithms questions without looking at key</t>
  </si>
  <si>
    <t xml:space="preserve">Solve 20 targeted PYQs on PDA/Turing Machines &amp; Dynamic Programming + update Error Register</t>
  </si>
  <si>
    <t xml:space="preserve">Day 12</t>
  </si>
  <si>
    <t xml:space="preserve">Phase 1A: TOC 100% Milestone Consolidation!</t>
  </si>
  <si>
    <t xml:space="preserve">Theory of Computation (Module 6/6 — 100% Done)</t>
  </si>
  <si>
    <t xml:space="preserve">Rice's Theorem (Non-trivial semantic properties of RE languages are undecidable vs syntactic TM properties like 'TM has &lt;= 50 states' which are decidable), Master Closure &amp; Decidability 2D Cheat Matrix construction, Condensing complete TOC into 10-page handwritten short notes</t>
  </si>
  <si>
    <t xml:space="preserve">25 Mixed High-Yield TOC PYQs (GATE 2015–2025): Full timed sweep of Rice's Theorem, closure combinations (`L_1 / L_2`, `Init(L)`, `Prefix(L)`), and minimal DFA/CFG traps</t>
  </si>
  <si>
    <t xml:space="preserve">Algorithms (Dynamic Programming &amp; Graph Algorithms)</t>
  </si>
  <si>
    <t xml:space="preserve">Dynamic Programming (Matrix Chain Multiplication parenthesization, Longest Common Subsequence LCS, 0/1 Knapsack, Subset Sum, All-Pairs Shortest Path Floyd-Warshall, Bellman-Ford), Graph Algorithms (BFS, DFS edge classification: Tree/Back/Forward/Cross, Topological Sort, Strongly Connected Components Kosaraju/Tarjan, Prim's &amp; Kruskal's MST, Dijkstra's with negative-weight failure case) — Solve 30 Timed PYQs</t>
  </si>
  <si>
    <t xml:space="preserve">Combinatorics (Permutations with repetition, Circular permutations, Derangements, Inclusion-Exclusion Principle, Pigeonhole Principle, Generating Functions &amp; Linear Recurrence Roots) + GA Time &amp; Work / Pipes &amp; Cisterns — Solve 18 PYQs</t>
  </si>
  <si>
    <t xml:space="preserve">Day 13</t>
  </si>
  <si>
    <t xml:space="preserve">Phase 1B: Compiler Design (0% → 15%)</t>
  </si>
  <si>
    <t xml:space="preserve">Compiler Design (Module 1/7)</t>
  </si>
  <si>
    <t xml:space="preserve">Compiler Phases Overview, Lexical Analysis (Role of Lexer, Lexemes, Tokens, Patterns, Maximal Munch / Longest Match Rule, Lookahead buffer &amp; C code token-counting traps), Regular Expressions to NFA (Thompson's Construction) &amp; Direct DFA Construction (Syntax Tree `nullable`, `firstpos`, `lastpos`, `followpos`)</t>
  </si>
  <si>
    <t xml:space="preserve">20 Timed Topic PYQs (10 NAT + 6 MCQ + 4 MSQ): Exact token count in tricky C snippets (comments, pointers, pre-increment `a+++b`), lexical error identification</t>
  </si>
  <si>
    <t xml:space="preserve">TOC + Digital Logic Paired Combination</t>
  </si>
  <si>
    <t xml:space="preserve">TOC Newly Completed Revision (15 PYQs on DFA/CFL/Decidability) + Digital Logic Revision: Number Systems (Radix conversions, r's and (r-1)'s complement, Signed Magnitude, 1's &amp; 2's Complement overflow conditions, IEEE 754 Single/Double Precision normalized, denormalized, NaN &amp; Infinity) — Solve 30 Timed PYQs</t>
  </si>
  <si>
    <t xml:space="preserve">Discrete Mathematics (Graph Theory)</t>
  </si>
  <si>
    <t xml:space="preserve">Graph Theory (Handshaking Lemma, Degree Sequences Havel-Hakimi, Connected Components, Cut Vertices/Articulation Points, Bridges, Vertex/Edge Connectivity `κ(G) &lt;= λ(G) &lt;= δ(G)`, Eulerian &amp; Hamiltonian Graphs, Bipartite Graphs, Matching, Planar Graphs Euler's Formula `v - e + f = 2`, Kuratowski's Theorem, Chromatic Number &amp; Chromatic Polynomial) — Solve 18 PYQs</t>
  </si>
  <si>
    <t xml:space="preserve">Day 14</t>
  </si>
  <si>
    <t xml:space="preserve">Phase 1B: Compiler Design (15% → 30%)</t>
  </si>
  <si>
    <t xml:space="preserve">Compiler Design (Module 2/7)</t>
  </si>
  <si>
    <t xml:space="preserve">Syntax Analysis Foundations: Context-Free Grammars in Compilers, Operator Precedence &amp; Associativity encoding in unambiguous grammars, Elimination of Immediate &amp; Indirect Left Recursion (`A -&gt; Aα | β`), Left Factoring, Computation of `FIRST(X)` and `FOLLOW(A)` sets (handling epsilon-productions thoroughly)</t>
  </si>
  <si>
    <t xml:space="preserve">20 Timed Topic PYQs (8 NAT + 7 MCQ + 5 MSQ): Computing exact cardinality and elements of `FIRST` and `FOLLOW` sets for complex multi-production grammars</t>
  </si>
  <si>
    <t xml:space="preserve">Digital Logic (Boolean Algebra, K-Maps &amp; Combinational)</t>
  </si>
  <si>
    <t xml:space="preserve">Boolean Algebra Laws, Consensus Theorem, De Morgan's, Minimization using 3, 4, and 5-variable Karnaugh Maps (Prime Implicants, Essential Prime Implicants, Don't Care conditions, Minimal SOP vs POS), Logic Gates (NAND/NOR universal gate realization &amp; minimum gate count), Multiplexers (Implementing n-variable function using `2^(n-1):1` MUX), Decoders, Encoders, Half/Full Adders, Carry-Lookahead Adder propagation delay — Solve 30 Timed PYQs</t>
  </si>
  <si>
    <t xml:space="preserve">Engineering Math: Calculus</t>
  </si>
  <si>
    <t xml:space="preserve">Limits (L'Hospital's Rule, standard indeterminate forms `0/0`, `1^∞`), Continuity, Differentiability, Rolle's Theorem, Lagrange's Mean Value Theorem, Cauchy's MVT &amp; Taylor/Maclaurin Series expansions — Solve 18 PYQs</t>
  </si>
  <si>
    <t xml:space="preserve">Day 15</t>
  </si>
  <si>
    <t xml:space="preserve">Phase 1B: Compiler Design (30% → 45%)</t>
  </si>
  <si>
    <t xml:space="preserve">Compiler Design (Module 3/7)</t>
  </si>
  <si>
    <t xml:space="preserve">Top-Down Parsing: Recursive Descent Parsing (backtracking vs predictive), Non-Recursive Predictive Parsing, `LL(1)` Parsing Table Construction from `FIRST` and `FOLLOW` sets, Necessary &amp; Sufficient conditions for a grammar to be `LL(1)` (Why left-recursive or ambiguous grammars can never be `LL(1)`), `LL(1)` conflict resolution</t>
  </si>
  <si>
    <t xml:space="preserve">20 Timed Topic PYQs (8 MCQ + 8 MSQ + 4 NAT): Checking whether a given grammar is `LL(1)`, counting multiple-defined entries in `LL(1)` table, recursive descent call-count tracing</t>
  </si>
  <si>
    <t xml:space="preserve">Digital Logic (Sequential Circuits) + TOC Automata</t>
  </si>
  <si>
    <t xml:space="preserve">Latches (SR, D) vs Edge-Triggered Flip-Flops (SR, JK, D, T, Master-Slave, Characteristic &amp; Excitation Tables, Race-Around Condition), Synchronous vs Asynchronous/Ripple Counters (Mod-N counter design, Ring &amp; Johnson counters, State Diagram analysis), Shift Registers (SISO, SIPO, PISO, PIPO, LFSR), Setup Time, Hold Time, Clock-to-Q Delay &amp; Maximum Clock Frequency calculations — Solve 30 Timed PYQs</t>
  </si>
  <si>
    <t xml:space="preserve">Maxima &amp; Minima of Single-Variable and Two-Variable Functions (Critical points, Hessian Matrix `rt - s^2` test, Saddle points), Definite Integrals (Leibniz Rule, Even/Odd properties, Gamma/Beta functions, Area under curves) — Solve 18 PYQs</t>
  </si>
  <si>
    <t xml:space="preserve">Day 16</t>
  </si>
  <si>
    <t xml:space="preserve">Phase 1B: Compiler Design (45% → 60%)</t>
  </si>
  <si>
    <t xml:space="preserve">Compiler Design (Module 4/7)</t>
  </si>
  <si>
    <t xml:space="preserve">Bottom-Up Shift-Reduce Parsing: Handles, Handle Pruning, Viable Prefixes, Shift/Reduce &amp; Reduce/Reduce Conflicts, `LR(0)` Items, Augmented Grammar, `CLOSURE` and `GOTO` operations, Canonical Collection of `LR(0)` Item Sets, `LR(0)` Automaton (DFA of item sets), `LR(0)` and `SLR(1)` Parsing Table Construction (using `FOLLOW(A)` for reductions in SLR)</t>
  </si>
  <si>
    <t xml:space="preserve">20 Timed Topic PYQs (10 NAT + 6 MCQ + 4 MSQ): Counting exact number of states in `LR(0)`/SLR DFA, identifying Shift-Reduce vs Reduce-Reduce conflicts in `LR(0)` and `SLR(1)`</t>
  </si>
  <si>
    <t xml:space="preserve">Computer Organization &amp; Architecture (Instructions &amp; ALU)</t>
  </si>
  <si>
    <t xml:space="preserve">Machine Instructions &amp; Addressing Modes (Immediate, Direct, Indirect, Register, Register Indirect, Auto-increment/decrement, Indexed, PC-Relative, Base-Register — Effective Address &amp; instruction word bit-allocation numericals), ALU Data-Path Design, Hardwired vs Microprogrammed Control Unit (Horizontal vs Vertical micro-instructions, control memory size), Booth's Multiplication &amp; Restoring/Non-Restoring Division — Solve 30 Timed PYQs</t>
  </si>
  <si>
    <t xml:space="preserve">General Aptitude (Analytical &amp; Logical Reasoning)</t>
  </si>
  <si>
    <t xml:space="preserve">Deductive Logic &amp; Syllogisms, Linear &amp; Circular Seating Arrangements, Blood Relations, Direction Sense, Coding-Decoding, Clock &amp; Calendar puzzles — Solve 20 PYQs</t>
  </si>
  <si>
    <t xml:space="preserve">Day 17</t>
  </si>
  <si>
    <t xml:space="preserve">Phase 1B: Compiler Design (60% → 75%)</t>
  </si>
  <si>
    <t xml:space="preserve">Compiler Design (Module 5/7)</t>
  </si>
  <si>
    <t xml:space="preserve">Canonical LR (`CLR(1)` / `LR(1)`) &amp; Lookahead LR (`LALR(1)`) Parsing: `LR(1)` Item `[A -&gt; α.β, a]`, `CLR(1)` state construction, Merging `CLR(1)` states with identical `LR(0)` cores to form `LALR(1)` states, Why merging never introduces Shift-Reduce conflicts but can introduce Reduce-Reduce conflicts, Complete Expressive Power Hierarchy (`LL(1)` vs `LR(0)` &lt; `SLR(1)` &lt; `LALR(1)` &lt; `CLR(1)` &lt; Unambiguous CFG), Operator Precedence Parsing</t>
  </si>
  <si>
    <t xml:space="preserve">20 Timed Topic PYQs (8 NAT + 8 MSQ + 4 MCQ): Comparing state counts between `SLR(1)`, `LALR(1)`, and `CLR(1)`; grammar hierarchy inclusion MSQs</t>
  </si>
  <si>
    <t xml:space="preserve">Computer Organization &amp; Architecture (Pipelining)</t>
  </si>
  <si>
    <t xml:space="preserve">Instruction Pipelining: 5-Stage RISC Pipeline (IF, ID, EX, MEM, WB), Pipeline Cycle Time, Speedup, Efficiency &amp; Throughput equations, Structural Hazards, Data Hazards (RAW, WAR, WAW), Operand Forwarding / Bypassing vs Pipeline Stalls (Load-Use hazard 1-cycle stall), Control/Branch Hazards (Branch Penalty, Static vs Dynamic Branch Prediction, Delayed Branching) — Solve 30 Timed PYQs</t>
  </si>
  <si>
    <t xml:space="preserve">Engineering Math: Probability &amp; Statistics</t>
  </si>
  <si>
    <t xml:space="preserve">Sample Space, Conditional Probability, Law of Total Probability, Bayes' Theorem (Medical test/faulty machine/coin selection PYQ archetypes), Independence of Events, Mean, Median, Mode &amp; Standard Deviation — Solve 18 PYQs</t>
  </si>
  <si>
    <t xml:space="preserve">Day 18</t>
  </si>
  <si>
    <t xml:space="preserve">Weekly Mock Test 3</t>
  </si>
  <si>
    <t xml:space="preserve">Full 65-Question / 100-Mark CBT Simulation (2:00–5:00 PM IST): Includes 100% TOC + 75% Compiler Design (LL/LR Parsing)</t>
  </si>
  <si>
    <t xml:space="preserve">Audit MSQ option-elimination accuracy in TOC &amp; Parsing conflict questions; re-solve all missed NATs</t>
  </si>
  <si>
    <t xml:space="preserve">Solve 20 targeted PYQs on CLR/LALR Parsing, COA Pipelining &amp; Undecidability + update Error Register</t>
  </si>
  <si>
    <t xml:space="preserve">Day 19</t>
  </si>
  <si>
    <t xml:space="preserve">Phase 1B: Compiler Design (75% → 90%)</t>
  </si>
  <si>
    <t xml:space="preserve">Compiler Design (Module 6/7)</t>
  </si>
  <si>
    <t xml:space="preserve">Syntax-Directed Translation (SDT): Syntax-Directed Definitions (SDD), Synthesized vs Inherited Attributes, S-Attributed Definitions (Bottom-up evaluation during LR parsing) vs L-Attributed Definitions (Depth-first left-to-right evaluation; why every S-attributed SDD is L-attributed), Dependency Graphs, Annotated Parse Trees, Intermediate Code Generation: Three-Address Code (TAC), Quadruples, Triples, Indirect Triples, Static Single Assignment (SSA) form &amp; Type Checking</t>
  </si>
  <si>
    <t xml:space="preserve">20 Timed Topic PYQs (12 NAT + 5 MCQ + 3 MSQ): Evaluating output printed by an SDT for a given input string; counting minimum temporary variables in TAC/SSA</t>
  </si>
  <si>
    <t xml:space="preserve">Computer Organization &amp; Architecture (Memory Hierarchy &amp; Cache)</t>
  </si>
  <si>
    <t xml:space="preserve">Cache Memory Organization: Direct Mapped, K-Way Set-Associative, and Fully Associative Cache (Tag, Set/Index, Block/Byte Offset bit-field calculations, Tag Directory size in bits/bytes), Replacement Policies (LRU, FIFO), Write-Through (with/without Write Allocate) vs Write-Back (Dirty bit), Average/Effective Memory Access Time (EMAT = Hit Time + Miss Rate × Miss Penalty, Multi-level L1/L2 Cache, Simultaneous vs Hierarchical access) — Solve 30 Timed PYQs</t>
  </si>
  <si>
    <t xml:space="preserve">Engineering Math: Probability Distributions</t>
  </si>
  <si>
    <t xml:space="preserve">Discrete Random Variables (PMF, Binomial, Poisson, Geometric, Uniform), Continuous Random Variables (PDF, CDF, Uniform, Exponential, Normal/Gaussian Distribution), Expectation `E[X]`, Variance `Var(X) = E[X^2] - (E[X])^2` &amp; Memoryless Property — Solve 18 PYQs</t>
  </si>
  <si>
    <t xml:space="preserve">Day 20</t>
  </si>
  <si>
    <t xml:space="preserve">Phase 1B: Compiler Design 100% Milestone Consolidation!</t>
  </si>
  <si>
    <t xml:space="preserve">Compiler Design (Module 7/7 — 100% Done)</t>
  </si>
  <si>
    <t xml:space="preserve">Runtime Environments (Storage organization, Stack Allocation, Activation Records, Control vs Access Links for nested procedures, Parameter passing), Code Optimization: Basic Blocks &amp; Leader identification rules, Control Flow Graphs (CFG), Directed Acyclic Graphs (DAG) for basic blocks, Peephole &amp; Machine-Independent Optimizations (Common Subexpression Elimination, Constant Folding, Copy Propagation, Dead Code Elimination, Loop Invariant Code Motion, Strength Reduction, Induction Variable Elimination), Data-Flow Analysis: Liveness Analysis (`IN[B]`, `OUT[B]`, `USE[B]`, `DEF[B]` equations) &amp; Register Allocation via Graph Coloring + Condense Full CD Short Notes</t>
  </si>
  <si>
    <t xml:space="preserve">25 Mixed High-Yield Compiler Design PYQs (GATE 2015–2025): Basic block leader counting, DAG node counting, Liveness analysis minimum registers, and full parsing/SDT review</t>
  </si>
  <si>
    <t xml:space="preserve">COA (I/O &amp; Secondary Storage) + TOC/CD Master Pairing</t>
  </si>
  <si>
    <t xml:space="preserve">COA I/O Interfacing (Memory-Mapped vs I/O-Mapped I/O, Programmed I/O, Interrupt-Driven I/O: Vectored/Non-vectored, Daisy Chaining, Priority Arbitration, DMA Cycle Stealing vs Burst Mode transfer time numericals, Magnetic Disk geometry &amp; transfer/seek/rotational latency) + 15 Paired TOC/CD PYQs — Solve 35 Timed PYQs</t>
  </si>
  <si>
    <t xml:space="preserve">General Aptitude (Verbal &amp; Data Interpretation)</t>
  </si>
  <si>
    <t xml:space="preserve">Reading Comprehension, Sentence Completion, Grammar &amp; Tenses, Critical Reasoning (Strengthen/Weaken arguments, Assumptions/Inferences) + Pie/Bar/Line Chart Data Interpretation — Solve 20 PYQs</t>
  </si>
  <si>
    <t xml:space="preserve">Day 21</t>
  </si>
  <si>
    <t xml:space="preserve">Phase 1C: Computer Networks (25% → 35%)</t>
  </si>
  <si>
    <t xml:space="preserve">Computer Networks (Module 1/8)</t>
  </si>
  <si>
    <t xml:space="preserve">Data Link Layer Flow &amp; Error Control: Propagation Delay (`T_p = d/v`), Transmission Delay (`T_t = L/B`), Processing &amp; Queuing Delays, Bandwidth-Delay Product, Stop-and-Wait Protocol Efficiency (`η = 1 / (1 + 2a)` where `a = T_p / T_t`) &amp; Effective Throughput, Sliding Window Protocols: Go-Back-N (GBN: Sender window `N`, Receiver window `1`, minimum sequence number bits `k` where `2^k - 1 &gt;= N`) &amp; Selective Repeat (SR: Sender window = Receiver window = `2^(k-1)`), Piggybacking</t>
  </si>
  <si>
    <t xml:space="preserve">20 Timed Topic PYQs (14 NAT + 4 MCQ + 2 MSQ): Calculating link utilization, sender window size, minimum sequence number bits, and total transmission time with packet loss</t>
  </si>
  <si>
    <t xml:space="preserve">Operating Systems (Processes, Threads &amp; CPU Scheduling)</t>
  </si>
  <si>
    <t xml:space="preserve">Process States &amp; PCB, Context Switching overhead, User-level vs Kernel-level Threads, `fork()` process tree &amp; output counting formulas, CPU Scheduling Algorithms: FCFS, SJF, Preemptive SRTF, Round Robin (Time quantum impact &amp; context switch count), Priority Scheduling, Multilevel Feedback Queue, Response Ratio (HRRN) — Turnaround Time, Waiting Time &amp; CPU Utilization numericals — Solve 30 Timed PYQs</t>
  </si>
  <si>
    <t xml:space="preserve">Discrete Mathematics (Algebraic Structures &amp; Group Theory)</t>
  </si>
  <si>
    <t xml:space="preserve">Binary Operations, Semigroups, Monoids, Groups, Abelian Groups, Order of an Element, Cyclic Groups &amp; Generators, Subgroups, Lagrange's Theorem (Order of subgroup divides order of finite group), Group Homomorphism &amp; Isomorphism — Solve 18 PYQs</t>
  </si>
  <si>
    <t xml:space="preserve">Day 22</t>
  </si>
  <si>
    <t xml:space="preserve">Phase 1C: Computer Networks (35% → 45%)</t>
  </si>
  <si>
    <t xml:space="preserve">Computer Networks (Module 2/8)</t>
  </si>
  <si>
    <t xml:space="preserve">Medium Access Control (MAC) Sublayer: Random Access Protocols — Pure ALOHA (Vulnerable time `2*T_fr`, Max throughput `G * e^(-2G) = 18.4%`) vs Slotted ALOHA (Vulnerable time `T_fr`, Max throughput `G * e^(-G) = 36.8%`), CSMA (1-persistent, non-persistent, p-persistent), CSMA/CD (Minimum Frame Size condition `L &gt;= 2 * T_p * B` so sender detects collision before finishing transmission, Binary Exponential Backoff Algorithm collision probability &amp; wait time), Ethernet IEEE 802.3 Frame Format, Bridges/Layer-2 Switches (Self-learning, Spanning Tree Protocol STP, Collision vs Broadcast Domains)</t>
  </si>
  <si>
    <t xml:space="preserve">20 Timed Topic PYQs (12 NAT + 5 MCQ + 3 MSQ): Minimum Ethernet frame length, backoff contention slots, ALOHA throughput &amp; switch port forwarding tables</t>
  </si>
  <si>
    <t xml:space="preserve">Operating Systems (Process Synchronization &amp; IPC)</t>
  </si>
  <si>
    <t xml:space="preserve">Race Conditions, Critical Section Problem (Mutual Exclusion, Progress, Bounded Waiting — Peterson's Solution, Hardware `TestAndSet` / `CompareAndSwap`), Counting vs Binary Semaphores (`P/wait` and `V/signal` trace numericals: max processes in CS, deadlock checking), Monitors, Classical IPC Problems (Bounded-Buffer Producer-Consumer, Readers-Writers, Dining Philosophers, Sleeping Barber) — Solve 30 Timed PYQs</t>
  </si>
  <si>
    <t xml:space="preserve">Engineering Math (Linear Algebra &amp; Calculus NAT Sprint)</t>
  </si>
  <si>
    <t xml:space="preserve">High-Speed NAT Numericals: Eigenvalue properties of `A^k`, `A^(-1)`, `adj(A)`, Orthogonal &amp; Symmetric matrices, Definite Integral evaluation &amp; Taylor series approximations — Solve 18 PYQs</t>
  </si>
  <si>
    <t xml:space="preserve">Day 23</t>
  </si>
  <si>
    <t xml:space="preserve">Phase 1C: Computer Networks (45% → 56%)</t>
  </si>
  <si>
    <t xml:space="preserve">Computer Networks (Module 3/8)</t>
  </si>
  <si>
    <t xml:space="preserve">Network Layer Part 1 — IPv4 Classful &amp; Subnetting: IPv4 32-bit Address Structure, Class A, B, C, D, E ranges, Special Addresses (Loopback, Broadcast, Directed Broadcast, Limited Broadcast, Private IP blocks), Subnetting (Fixed-Length vs Variable-Length Subnet Masking VLSM, Subnet Mask binary/dotted-decimal math, calculating Subnet ID, First Host, Last Host, Directed Broadcast, and Usable Hosts `2^h - 2`)</t>
  </si>
  <si>
    <t xml:space="preserve">22 Timed Topic PYQs (14 NAT + 5 MCQ + 3 MSQ): VLSM department host allocation, identifying whether two IPs belong to the same subnet under a given mask</t>
  </si>
  <si>
    <t xml:space="preserve">Operating Systems (Deadlocks &amp; Memory Management Basics)</t>
  </si>
  <si>
    <t xml:space="preserve">Deadlock Characterization (4 Coffman Conditions), Resource Allocation Graphs (RAG single vs multi-instance), Deadlock Prevention, Deadlock Avoidance (Banker's Algorithm safe sequence count &amp; `Need &lt;= Work` verification), Deadlock Detection &amp; Recovery; Contiguous Memory Allocation (First Fit, Best Fit, Worst Fit, Internal vs External Fragmentation) — Solve 30 Timed PYQs</t>
  </si>
  <si>
    <t xml:space="preserve">General Aptitude (Spatial Aptitude)</t>
  </si>
  <si>
    <t xml:space="preserve">2D &amp; 3D Shape Transformations (Rotation, Reflection, Scaling, Translation), Paper Folding &amp; Punching patterns, Mirror &amp; Water Images, Counting embedded figures &amp; 3D Cube unfolding — Solve 20 PYQs</t>
  </si>
  <si>
    <t xml:space="preserve">Day 24</t>
  </si>
  <si>
    <t xml:space="preserve">Weekly Mock Test 4 (Shifted from Sun due to Diwali)</t>
  </si>
  <si>
    <t xml:space="preserve">Full 65-Question / 100-Mark CBT Simulation (2:00–5:00 PM IST): Includes 100% TOC, 100% CD + CN Flow Control/MAC/IPv4</t>
  </si>
  <si>
    <t xml:space="preserve">Audit virtual calculator speed on COA Cache, OS Scheduling, and CN Sliding Window/Subnetting numericals</t>
  </si>
  <si>
    <t xml:space="preserve">Solve 20 targeted PYQs on CSMA/CD, Subnetting, SDT &amp; OS Semaphores + update Error Register</t>
  </si>
  <si>
    <t xml:space="preserve">Day 25</t>
  </si>
  <si>
    <t xml:space="preserve">HOLIDAY: Diwali / Deepavali &amp; Naraka Chaturdasi</t>
  </si>
  <si>
    <t xml:space="preserve">Public Holiday (Weekly Mock 4 Shifted to Sat, Nov 7) — Zero Study Assigned</t>
  </si>
  <si>
    <t xml:space="preserve">Day 26</t>
  </si>
  <si>
    <t xml:space="preserve">Phase 1C: Computer Networks (56% → 68%)</t>
  </si>
  <si>
    <t xml:space="preserve">Computer Networks (Module 4/8)</t>
  </si>
  <si>
    <t xml:space="preserve">Network Layer Part 2 — CIDR, Supernetting &amp; Routing Tables: Classless Inter-Domain Routing (`a.b.c.d/x` prefix notation), Route Aggregation / Supernetting conditions (Contiguous blocks, block size power of 2, first address divisible by block size), Forwarding Table Lookup with Longest Prefix Match (LPM), Default Mask (`0.0.0.0/0`), Network Address Translation (NAT static/dynamic PAT port mapping)</t>
  </si>
  <si>
    <t xml:space="preserve">22 Timed Topic PYQs (12 NAT + 6 MCQ + 4 MSQ): Longest Prefix Match next-hop interface selection, CIDR block aggregation, and valid supernet mask identification</t>
  </si>
  <si>
    <t xml:space="preserve">Operating Systems + COA Paired Combination (Virtual Memory &amp; Paging)</t>
  </si>
  <si>
    <t xml:space="preserve">Paging Hardware (Logical/Virtual to Physical address translation, Page Table Entry size, Page Table size), Multi-Level Paging (2-level/3-level page table walk &amp; memory overhead), Inverted Page Tables, Translation Lookaside Buffer (TLB Hit/Miss Effective Memory Access Time combined with L1 Cache &amp; Page Fault service time), Segmentation — Solve 35 Timed PYQs</t>
  </si>
  <si>
    <t xml:space="preserve">Engineering Math: Probability (Joint &amp; Continuous)</t>
  </si>
  <si>
    <t xml:space="preserve">Joint Probability Distributions, Marginal &amp; Conditional Distributions, Covariance, Correlation Coefficient, Chebyshev's Inequality &amp; Central Limit Theorem basics — Solve 18 PYQs</t>
  </si>
  <si>
    <t xml:space="preserve">Day 27</t>
  </si>
  <si>
    <t xml:space="preserve">Phase 1C: Computer Networks (68% → 78%)</t>
  </si>
  <si>
    <t xml:space="preserve">Computer Networks (Module 5/8)</t>
  </si>
  <si>
    <t xml:space="preserve">Network Layer Part 3 — IPv4 Header, Fragmentation &amp; Routing Algorithms: IPv4 20–60 Byte Header fields (HLEN 4-byte scaling factor, Total Length, Identification, DF/MF flags, 13-bit Fragment Offset 8-byte scaling factor, TTL, Header Checksum), IPv4 Fragmentation across multiple MTU links (calculating fragment sizes, offsets, MF bits, and header overhead); Routing Algorithms: Distance Vector Routing (Bellman-Ford equation, Count-to-Infinity Problem, Split Horizon &amp; Poison Reverse) vs Link State Routing (Dijkstra's flooding &amp; link-state packets)</t>
  </si>
  <si>
    <t xml:space="preserve">20 Timed Topic PYQs (12 NAT + 5 MCQ + 3 MSQ): Multi-hop MTU fragmentation offset &amp; total bytes calculation; Distance Vector routing table convergence steps</t>
  </si>
  <si>
    <t xml:space="preserve">Operating Systems (Page Replacement, Disk Scheduling &amp; File Systems)</t>
  </si>
  <si>
    <t xml:space="preserve">Demand Paging, Page Replacement Algorithms (FIFO, Belady's Anomaly 3 vs 4 frames, Optimal, LRU stack property, Second-Chance/Clock), Thrashing &amp; Working-Set Model; File System Implementation (Contiguous, Linked, FAT, Unix Inode direct/single-indirect/double-indirect/triple-indirect max file size math), Disk Scheduling (FCFS, SSTF, SCAN, C-SCAN, LOOK, C-LOOK total head movement) — Solve 30 Timed PYQs</t>
  </si>
  <si>
    <t xml:space="preserve">Discrete Mathematics (Graph Theory &amp; Recurrences Speed Drill)</t>
  </si>
  <si>
    <t xml:space="preserve">High-Speed Drill: Planar graph faces/regions, Spanning tree counts (Cayley's formula `n^(n-2)`), Non-homogeneous recurrence relations — Solve 18 PYQs</t>
  </si>
  <si>
    <t xml:space="preserve">Day 28</t>
  </si>
  <si>
    <t xml:space="preserve">Phase 1C: Computer Networks (78% → 86%)</t>
  </si>
  <si>
    <t xml:space="preserve">Computer Networks (Module 6/8)</t>
  </si>
  <si>
    <t xml:space="preserve">IP Support Protocols &amp; Transport Layer Part 1: ARP (Request broadcast / Reply unicast, Gratuitous ARP), DHCP (DORA: Discover, Offer, Request, Acknowledge), ICMP (Error reporting vs Query messages, Ping &amp; Traceroute TTL expiry mechanism), Intra/Inter-Domain Routing Protocols (RIP, OSPF, BGP Path-Vector); Transport Layer: Process-to-Process delivery, Port numbers, UDP Header (8 bytes, pseudo-header checksum), TCP Header (20–60 bytes, Sequence Number, Acknowledgement Number, Header Length, Window Size, Urgent Pointer, SYN/ACK/FIN/RST/PSH/URG flags), TCP 3-Way Handshake &amp; 4-Way Connection Termination (Half-close &amp; TIME_WAIT state)</t>
  </si>
  <si>
    <t xml:space="preserve">20 Timed Topic PYQs (10 NAT + 6 MCQ + 4 MSQ): Sequence &amp; ACK number tracking during 3-way handshake, data transfer, and FIN teardown; ARP/MAC header encapsulation across routers</t>
  </si>
  <si>
    <t xml:space="preserve">DBMS (ER Model, Relational Algebra, TRC &amp; SQL)</t>
  </si>
  <si>
    <t xml:space="preserve">ER Diagram to Relational Schema Mapping (Minimum tables for 1:1, 1:N, M:N, weak entities, multivalued attributes), Relational Algebra (Selection, Projection, Rename, Cross Product, Natural/Theta/Outer Joins, Division operator `R ÷ S` exact equivalent in basic operators), Tuple Relational Calculus (TRC safe queries &amp; quantifier equivalence with SQL `NOT EXISTS`), SQL Queries (Joins, `GROUP BY`, `HAVING`, `EXISTS`, `IN`, `ANY`, `ALL`, Correlated Subqueries) — Solve 30 Timed PYQs</t>
  </si>
  <si>
    <t xml:space="preserve">General Aptitude (Quantitative Permutations, Probability &amp; Geometry)</t>
  </si>
  <si>
    <t xml:space="preserve">Permutations &amp; Combinations, Balls &amp; Bins, Classical Probability, Triangles, Circles, Mensuration (3D Cylinder/Cone/Sphere volume/surface ratios) &amp; Coordinate Geometry — Solve 20 PYQs</t>
  </si>
  <si>
    <t xml:space="preserve">Day 29</t>
  </si>
  <si>
    <t xml:space="preserve">Phase 1C: Computer Networks (86% → 94%)</t>
  </si>
  <si>
    <t xml:space="preserve">Computer Networks (Module 7/8)</t>
  </si>
  <si>
    <t xml:space="preserve">Transport Layer Part 2 — TCP Flow Control, Congestion Control &amp; Timers: TCP Sliding Window (`Effective Window = min(cwnd, rwnd)`), Wrap-Around Time (`2^32 / Bandwidth`), Silly Window Syndrome (Nagle's Algorithm &amp; Clark's Solution), TCP Congestion Control Phases: Slow Start (exponential `cwnd` doubling per RTT up to `ssthresh`), Congestion Avoidance (additive increase `+1 MSS` per RTT), Fast Retransmit (3 Duplicate ACKs: `ssthresh = cwnd/2`, `cwnd = ssthresh` or `ssthresh + 3 MSS`) vs Timeout (`ssthresh = cwnd/2`, `cwnd = 1 MSS`), AIMD Sawtooth throughput formula, TCP Timers (Retransmission Timer RTT estimation: Basic, Jacobson's &amp; Karn's algorithms, Persistence, Keep-Alive, Time-Wait)</t>
  </si>
  <si>
    <t xml:space="preserve">22 Timed Topic PYQs (14 NAT + 5 MCQ + 3 MSQ): Calculating `cwnd` after k RTTs with timeout/3-dup-ACK events; wrap-around time &amp; sequence number space sizing</t>
  </si>
  <si>
    <t xml:space="preserve">DBMS (Functional Dependencies &amp; Normalization)</t>
  </si>
  <si>
    <t xml:space="preserve">Functional Dependencies (Armstrong's Axioms, Attribute Closure `X+`, Canonical/Minimal Cover, Finding all Candidate Keys &amp; Prime/Non-Prime attributes), Normal Forms Identification (1NF, 2NF Partial Dependency, 3NF Transitive Dependency, BCNF `X -&gt; Y` where X is superkey), Decomposition Properties (Lossless-Join test via chase/table method &amp; Dependency Preservation) — Solve 30 Timed PYQs</t>
  </si>
  <si>
    <t xml:space="preserve">Engineering Math (Full 13-Mark Timed Mini-Test)</t>
  </si>
  <si>
    <t xml:space="preserve">Take a 30-minute timed 10-question (13-mark) Engineering Mathematics test covering Linear Algebra, Calculus, and Probability + 30-min deep error review</t>
  </si>
  <si>
    <t xml:space="preserve">Day 30</t>
  </si>
  <si>
    <t xml:space="preserve">Phase 1C: Computer Networks 100% — FULL GATE CSE SYLLABUS COMPLETED!</t>
  </si>
  <si>
    <t xml:space="preserve">Computer Networks (Module 8/8 — 100% Done)</t>
  </si>
  <si>
    <t xml:space="preserve">Traffic Shaping (Leaky Bucket vs Token Bucket maximum burst duration `S = C / (M - ρ)` numericals), Application Layer Protocols: DNS (Iterative vs Recursive queries, Root/TLD/Authoritative servers, Resource Records A/NS/CNAME/MX), HTTP (Non-Persistent `2*RTT + file` vs Persistent Pipelined/Non-Pipelined RTT calculations, Status codes, Cookies), SMTP, POP3 vs IMAP, FTP (Control port 21 vs Data port 20); Network Security Basics (Symmetric vs Asymmetric Cryptography, RSA `e*d ≡ 1 mod φ(n)` encryption/decryption numericals, Digital Signatures, Firewalls) + Condense Full CN Short Notes</t>
  </si>
  <si>
    <t xml:space="preserve">25 Mixed High-Yield Computer Networks PYQs (GATE 2015–2025): Token bucket burst length, HTTP persistent RTT, DNS query count, RSA decryption, and full CN consolidation</t>
  </si>
  <si>
    <t xml:space="preserve">DBMS (Transactions, Concurrency Control &amp; B/B+ Trees) + CN Pairing</t>
  </si>
  <si>
    <t xml:space="preserve">Transactions &amp; ACID Properties, Schedules (Serial, Conflict-Serializable Precedence/Serialization Graph cycle test, View-Serializable Blind Writes, Recoverable, Cascadeless, Strict schedules), Lock-Based Protocols (2PL, Strict 2PL, Rigorous 2PL, Thomas Write Rule, Timestamp Ordering, Deadlock Wait-Die vs Wound-Wait), ARIES Log-Based Recovery; File Organization &amp; Indexing (Primary, Clustering, Secondary Index, Dense vs Sparse, Multi-level Index, B-Tree &amp; B+ Tree internal vs leaf node order/block-factor math &amp; insertion/deletion splits) — Solve 35 Timed PYQs</t>
  </si>
  <si>
    <t xml:space="preserve">General Aptitude (Full 15-Mark Timed Mini-Test)</t>
  </si>
  <si>
    <t xml:space="preserve">Take a 25-minute timed 10-question (15-mark) General Aptitude test + Polish [GATE FARREY.pdf] Formula Sheets across all 11 completed subjects</t>
  </si>
  <si>
    <t xml:space="preserve">Day 31</t>
  </si>
  <si>
    <t xml:space="preserve">Phase 2: Revision Cycle 2 + Subject Tests + 10p Short Notes (Cycle Day 1/6)</t>
  </si>
  <si>
    <t xml:space="preserve">TOC &amp; Compiler Design (Subject Test + 10-Page Short Notes)</t>
  </si>
  <si>
    <t xml:space="preserve">Take 90-min Subject Test (30 Qs: 15 TOC + 15 CD from GO Classes / GATE Overflow Test Series) + Spend 60 mins condensing TOC &amp; CD into 10-page handwritten A4 short notes (Closure/Decidability tables, Parsing hierarchy, SDT &amp; Liveness rules)</t>
  </si>
  <si>
    <t xml:space="preserve">30 Subject-Test Questions (Timed 90m) + 15-min Mistake Tagging</t>
  </si>
  <si>
    <t xml:space="preserve">TOC + Compiler Design + Digital Logic (3-Subject Interleaved Pairing)</t>
  </si>
  <si>
    <t xml:space="preserve">Solve 45 Timed PYQs (20 MSQ + 15 NAT + 10 MCQ): Minimal DFA/Myhill-Nerode, CFL/DCFL Closure MSQs, Rice's Theorem, LL(1)/SLR(1)/CLR(1)/LALR(1) state &amp; conflict counts, SDT evaluation, K-Map Essential Prime Implicants &amp; Synchronous Counter clock frequency</t>
  </si>
  <si>
    <t xml:space="preserve">Engineering Math (Linear Algebra) + Verbal GA</t>
  </si>
  <si>
    <t xml:space="preserve">Eigenvalues, Rank, System of Equations (10 PYQs) + Verbal Grammar, Sentence Completion &amp; Critical Reasoning (10 PYQs) + Error Register Review</t>
  </si>
  <si>
    <t xml:space="preserve">Day 32</t>
  </si>
  <si>
    <t xml:space="preserve">Weekly Mock Test 5 — FIRST 100% FULL-SYLLABUS MOCK</t>
  </si>
  <si>
    <t xml:space="preserve">Full 65-Question / 100-Mark CBT Simulation (2:00–5:00 PM IST): All 11 GATE CSE subjects active at 100% weightage</t>
  </si>
  <si>
    <t xml:space="preserve">2.0h Comprehensive 11-Subject Audit</t>
  </si>
  <si>
    <t xml:space="preserve">Subject-by-subject accuracy matrix across all 11 subjects; identify bottom 3 subjects for Phase 2 focus</t>
  </si>
  <si>
    <t xml:space="preserve">Solve 25 targeted Level-3 PYQs from the bottom 2 subjects of Mock 5 + update Error Register</t>
  </si>
  <si>
    <t xml:space="preserve">Day 33</t>
  </si>
  <si>
    <t xml:space="preserve">Phase 2: Revision Cycle 2 + Subject Tests + 10p Short Notes (Cycle Day 2/6)</t>
  </si>
  <si>
    <t xml:space="preserve">Computer Networks (Subject Test + 10-Page Short Notes)</t>
  </si>
  <si>
    <t xml:space="preserve">Take 90-min Computer Networks Subject Test (30 Qs from GO/ACE Test Series) + Spend 60 mins condensing CN into 10-page handwritten A4 short notes (Stop-and-Wait/GBN/SR formulas, CSMA/CD, CIDR/Subnetting, IPv4 Fragmentation, TCP AIMD, Token Bucket, HTTP/DNS)</t>
  </si>
  <si>
    <t xml:space="preserve">Computer Networks + DBMS (2-Subject Interleaved Pairing)</t>
  </si>
  <si>
    <t xml:space="preserve">Solve 45 Timed PYQs (22 NAT + 13 MSQ + 10 MCQ): VLSM &amp; CIDR LPM routing tables, IPv4 MTU fragmentation offsets, TCP Slow Start/Congestion Avoidance window sizing, Functional Dependency Candidate Keys, 3NF/BCNF decomposition, Conflict Serializability &amp; B+ Tree order calculations</t>
  </si>
  <si>
    <t xml:space="preserve">Engineering Math (Calculus) + Numerical GA</t>
  </si>
  <si>
    <t xml:space="preserve">Limits, Continuity, Maxima/Minima, Definite Integrals (10 PYQs) + Ratios, Percentages, Time/Work, Profit/Loss (10 PYQs) + Error Register Review</t>
  </si>
  <si>
    <t xml:space="preserve">Day 34</t>
  </si>
  <si>
    <t xml:space="preserve">Phase 2: Revision Cycle 2 + Subject Tests + 10p Short Notes (Cycle Day 3/6)</t>
  </si>
  <si>
    <t xml:space="preserve">Operating Systems (Subject Test + 10-Page Short Notes)</t>
  </si>
  <si>
    <t xml:space="preserve">Take 90-min Operating Systems Subject Test (30 Qs from GO/ACE Test Series) + Spend 60 mins condensing OS into 10-page handwritten A4 short notes (CPU Scheduling nuances, Semaphore/IPC patterns, Banker's, Multi-level Paging + TLB EMAT, LRU/Optimal, Inode math)</t>
  </si>
  <si>
    <t xml:space="preserve">Operating Systems + COA (Hardware-Software Interface Pairing)</t>
  </si>
  <si>
    <t xml:space="preserve">Solve 45 Timed PYQs (25 NAT + 12 MSQ + 8 MCQ): Combined TLB + L1/L2 Cache + Page Fault Effective Memory Access Time (EMAT), Multi-level page table walk, Direct/Set-Associative Cache tag bits, 5-Stage Pipeline RAW hazards &amp; forwarding stalls, Semaphore synchronization traces &amp; Disk SCAN/C-SCAN seek time</t>
  </si>
  <si>
    <t xml:space="preserve">Engineering Math (Probability) + Logical GA</t>
  </si>
  <si>
    <t xml:space="preserve">Conditional Probability, Bayes' Theorem, Poisson/Normal/Exponential Distributions (10 PYQs) + Syllogisms, Seating &amp; Puzzles (10 PYQs) + Error Register Review</t>
  </si>
  <si>
    <t xml:space="preserve">Day 35</t>
  </si>
  <si>
    <t xml:space="preserve">Phase 2: Revision Cycle 2 + Subject Tests + 10p Short Notes (Cycle Day 4/6)</t>
  </si>
  <si>
    <t xml:space="preserve">Programming &amp; Data Structures (Subject Test + 10-Page Short Notes)</t>
  </si>
  <si>
    <t xml:space="preserve">Take 90-min Programming &amp; Data Structures Subject Test (30 Qs from GO/GATE Overflow Test Series) + Spend 60 mins condensing C &amp; DS into 10-page handwritten A4 short notes (Pointer precedence, Static recursion, Tree/AVL/Heap bounds, Hashing probes)</t>
  </si>
  <si>
    <t xml:space="preserve">C Programming &amp; Data Structures + Discrete Mathematics Pairing</t>
  </si>
  <si>
    <t xml:space="preserve">Solve 45 Timed PYQs (22 NAT + 13 MCQ + 10 MSQ): 2D array &amp; function pointer C code output tracing, Recursion call-tree evaluation, BST/AVL/Binary Heap operations, Hashing collision resolution, First-Order Predicate Logic quantifiers, Equivalence Relations, Posets &amp; Lattices</t>
  </si>
  <si>
    <t xml:space="preserve">Discrete Math (Combinatorics) + Spatial GA</t>
  </si>
  <si>
    <t xml:space="preserve">Generating Functions, Recurrences, Inclusion-Exclusion, Derangements (10 PYQs) + 2D/3D Spatial Folding, Mirror Images &amp; Rotations (10 PYQs) + Error Register Review</t>
  </si>
  <si>
    <t xml:space="preserve">Day 36</t>
  </si>
  <si>
    <t xml:space="preserve">Phase 2: Revision Cycle 2 + Subject Tests + 10p Short Notes (Cycle Day 5/6)</t>
  </si>
  <si>
    <t xml:space="preserve">Algorithms (Subject Test + 10-Page Short Notes)</t>
  </si>
  <si>
    <t xml:space="preserve">Take 90-min Algorithms Subject Test (30 Qs from GO/GATE Overflow Test Series, e.g. [gateoverflow25_testseries_question.pdf]) + Spend 60 mins condensing Algorithms into 10-page handwritten A4 short notes (Master Theorem, Sorting table, Greedy proofs, DP recurrences, Graph complexities)</t>
  </si>
  <si>
    <t xml:space="preserve">Algorithms + Discrete Graph Theory (Algorithmic Graph Pairing)</t>
  </si>
  <si>
    <t xml:space="preserve">Solve 45 Timed PYQs (20 NAT + 15 MSQ + 10 MCQ): Asymptotic function ordering, Recurrence relations, Dynamic Programming (LCS, Matrix Chain, Knapsack), Dijkstra/Bellman-Ford/Prim/Kruskal trace &amp; complexity with Heaps/Arrays, Graph Connectivity, Planar Graphs, Coloring &amp; Spanning Trees</t>
  </si>
  <si>
    <t xml:space="preserve">Engineering Math + Data Interpretation GA</t>
  </si>
  <si>
    <t xml:space="preserve">Eigenvalues/Rank &amp; Bayes' Theorem Mixed Drill (10 PYQs) + Data Interpretation Charts/Tables &amp; Quantitative Geometry (10 PYQs) + Error Register Review</t>
  </si>
  <si>
    <t xml:space="preserve">Day 37</t>
  </si>
  <si>
    <t xml:space="preserve">Phase 2: Revision Cycle 2 + Subject Tests + 10p Short Notes (Cycle Day 6/6)</t>
  </si>
  <si>
    <t xml:space="preserve">DBMS, COA &amp; Digital Logic (Combined Subject Test + 10-Page Short Notes)</t>
  </si>
  <si>
    <t xml:space="preserve">Take 90-min Combined Subject Test (30 Qs: DBMS, COA &amp; Digital Logic) + Spend 60 mins completing 10-page handwritten A4 short notes for DBMS, COA &amp; Digital Logic</t>
  </si>
  <si>
    <t xml:space="preserve">DBMS + COA + Digital Logic (3-Subject Precision Pairing)</t>
  </si>
  <si>
    <t xml:space="preserve">Solve 45 Timed PYQs (22 NAT + 13 MSQ + 10 MCQ): SQL Correlated Subqueries &amp; Division in Relational Algebra, 2PL/Timestamp Concurrency, B+ Tree node splitting, IEEE 754 Floating-Point arithmetic, DMA cycle stealing, K-Maps &amp; Sequential Counter propagation delay</t>
  </si>
  <si>
    <t xml:space="preserve">Full 28-Mark Timed Foundation Sprint (Math + GA)</t>
  </si>
  <si>
    <t xml:space="preserve">Solve 20 Questions (10 GA + 10 Math/Discrete Math = 28 Marks) under a strict 45-minute timer + 45-minute error analysis &amp; formula flashcard update</t>
  </si>
  <si>
    <t xml:space="preserve">Day 38</t>
  </si>
  <si>
    <t xml:space="preserve">Day 39</t>
  </si>
  <si>
    <t xml:space="preserve">Weekly Mock Test 6 (All-India Test Series)</t>
  </si>
  <si>
    <t xml:space="preserve">Full 65-Question / 100-Mark CBT Simulation (2:00–5:00 PM IST): Practice 3-Round Paper Attempt Strategy (Easy -&gt; Med -&gt; Hard)</t>
  </si>
  <si>
    <t xml:space="preserve">Verify 1st-round speed (completing 25–30 1-mark &amp; easy 2-mark Qs in first 60 mins); re-solve missed Qs</t>
  </si>
  <si>
    <t xml:space="preserve">Solve 25 targeted PYQs on DBMS Serializability, CN TCP Congestion &amp; OS Paging</t>
  </si>
  <si>
    <t xml:space="preserve">Day 40</t>
  </si>
  <si>
    <t xml:space="preserve">Day 41</t>
  </si>
  <si>
    <t xml:space="preserve">HOLIDAY: Karthika Purnima / Guru Nanak Jayanti</t>
  </si>
  <si>
    <t xml:space="preserve">Telangana Public Holiday — Zero Study Assigned</t>
  </si>
  <si>
    <t xml:space="preserve">Day 42</t>
  </si>
  <si>
    <t xml:space="preserve">Day 43</t>
  </si>
  <si>
    <t xml:space="preserve">Day 44</t>
  </si>
  <si>
    <t xml:space="preserve">Day 45</t>
  </si>
  <si>
    <t xml:space="preserve">Day 46</t>
  </si>
  <si>
    <t xml:space="preserve">Weekly Mock Test 7 (All-India Test Series)</t>
  </si>
  <si>
    <t xml:space="preserve">Full 65-Question / 100-Mark CBT Simulation (2:00–5:00 PM IST): Focus on zeroing negative marking losses (&lt;2.5 marks lost)</t>
  </si>
  <si>
    <t xml:space="preserve">Audit every wrong MCQ guess; enforce strict rule: never guess when &lt;2 options are eliminated</t>
  </si>
  <si>
    <t xml:space="preserve">Solve 25 targeted NAT &amp; MSQ trap questions from GATE Overflow</t>
  </si>
  <si>
    <t xml:space="preserve">Day 47</t>
  </si>
  <si>
    <t xml:space="preserve">Day 48</t>
  </si>
  <si>
    <t xml:space="preserve">Day 49</t>
  </si>
  <si>
    <t xml:space="preserve">Day 50</t>
  </si>
  <si>
    <t xml:space="preserve">Day 51</t>
  </si>
  <si>
    <t xml:space="preserve">Day 52</t>
  </si>
  <si>
    <t xml:space="preserve">Day 53</t>
  </si>
  <si>
    <t xml:space="preserve">Weekly Mock Test 8 (All-India Test Series)</t>
  </si>
  <si>
    <t xml:space="preserve">Full 65-Question / 100-Mark CBT Simulation (2:00–5:00 PM IST): Target 70+ Raw Marks milestone</t>
  </si>
  <si>
    <t xml:space="preserve">Detailed review of multi-concept questions (EMAT: TLB+Cache, Routing+Graph Algorithms, B+ Tree block sizing)</t>
  </si>
  <si>
    <t xml:space="preserve">Solve 25 targeted multi-concept PYQs + update 10-page short notes</t>
  </si>
  <si>
    <t xml:space="preserve">Day 54</t>
  </si>
  <si>
    <t xml:space="preserve">Day 55</t>
  </si>
  <si>
    <t xml:space="preserve">Day 56</t>
  </si>
  <si>
    <t xml:space="preserve">Day 57</t>
  </si>
  <si>
    <t xml:space="preserve">Day 58</t>
  </si>
  <si>
    <t xml:space="preserve">Day 59</t>
  </si>
  <si>
    <t xml:space="preserve">Day 60</t>
  </si>
  <si>
    <t xml:space="preserve">Weekly Mock Test 9 (All-India Test Series)</t>
  </si>
  <si>
    <t xml:space="preserve">Full 65-Question / 100-Mark CBT Simulation (2:00–5:00 PM IST): Alternate between GO Classes (Hard) &amp; ACE/Made Easy</t>
  </si>
  <si>
    <t xml:space="preserve">Evaluate endurance and accuracy in the final 45 minutes of the 3-hour window</t>
  </si>
  <si>
    <t xml:space="preserve">Solve 25 starred Error-Register questions from Weeks 1–8</t>
  </si>
  <si>
    <t xml:space="preserve">Day 61</t>
  </si>
  <si>
    <t xml:space="preserve">Day 62</t>
  </si>
  <si>
    <t xml:space="preserve">Day 63</t>
  </si>
  <si>
    <t xml:space="preserve">Day 64</t>
  </si>
  <si>
    <t xml:space="preserve">Day 65</t>
  </si>
  <si>
    <t xml:space="preserve">Day 66</t>
  </si>
  <si>
    <t xml:space="preserve">Day 67</t>
  </si>
  <si>
    <t xml:space="preserve">Weekly Mock Test 10 (All-India Test Series)</t>
  </si>
  <si>
    <t xml:space="preserve">Full 65-Question / 100-Mark CBT Simulation (2:00–5:00 PM IST): Target 75+ Raw Marks milestone</t>
  </si>
  <si>
    <t xml:space="preserve">Check GA + Engineering Math combined score (must hit 25+/28 marks consistently)</t>
  </si>
  <si>
    <t xml:space="preserve">Solve 25 high-trap questions in Linear Algebra, Probability &amp; Discrete Graph Theory</t>
  </si>
  <si>
    <t xml:space="preserve">Day 68</t>
  </si>
  <si>
    <t xml:space="preserve">Phase 3: Official GATE Past-Paper Marathon (2014–2026) + Revision Cycle 3</t>
  </si>
  <si>
    <t xml:space="preserve">Official Past Paper: GATE 2014 CS Official Paper (Set 1) (2.5h Timed)</t>
  </si>
  <si>
    <t xml:space="preserve">Solve full 65-Q paper in 150 mins; focus on C/DS, COA cache &amp; TOC; replicate exact 3-round exam selection strategy</t>
  </si>
  <si>
    <t xml:space="preserve">65 Official Past-Paper Questions (Strict 150-min timer)</t>
  </si>
  <si>
    <t xml:space="preserve">Deep Post-Mortem of GATE 2014 CS Official Paper (Set 1) + Parallel L3 PYQs (2.5h)</t>
  </si>
  <si>
    <t xml:space="preserve">Re-solve every missed/unattempted question from GATE 2014 CS Official Paper (Set 1) + solve 30 parallel Gate Overflow Level-3 questions on those exact sub-topics (TOC + Compiler Design + Digital Logic (3-Subject Interleaved Pairing))</t>
  </si>
  <si>
    <t xml:space="preserve">Rapid 2-Subject Short-Notes Pass + NAT Drill (1.5h)</t>
  </si>
  <si>
    <t xml:space="preserve">Revise 10-page handwritten short notes for TOC &amp; Compiler Design + Eigenvalues, Rank, System of Equations (10 PYQs) + Verbal Grammar, Sentence Completion &amp; Critical Reasoning (10 PYQs) + Error Register Review</t>
  </si>
  <si>
    <t xml:space="preserve">Day 69</t>
  </si>
  <si>
    <t xml:space="preserve">Multi-Subject Test Series Simulation (2.5h)</t>
  </si>
  <si>
    <t xml:space="preserve">Take a 65-question full mock or two 30-question multi-subject tests covering Computer Networks + DBMS (2-Subject Interleaved Pairing)</t>
  </si>
  <si>
    <t xml:space="preserve">65 Timed Test Series Questions</t>
  </si>
  <si>
    <t xml:space="preserve">High-Yield Paired PYQ Sprint: Computer Networks + DBMS (2-Subject Interleaved Pairing) (2.5h)</t>
  </si>
  <si>
    <t xml:space="preserve">Day 70</t>
  </si>
  <si>
    <t xml:space="preserve">Official Past Paper: GATE 2015 CS Official Paper (Set 1) (2.5h Timed)</t>
  </si>
  <si>
    <t xml:space="preserve">Solve full 65-Q paper in 150 mins; focus on OS, DBMS SQL &amp; CN subnetting; replicate exact 3-round exam selection strategy</t>
  </si>
  <si>
    <t xml:space="preserve">Deep Post-Mortem of GATE 2015 CS Official Paper (Set 1) + Parallel L3 PYQs (2.5h)</t>
  </si>
  <si>
    <t xml:space="preserve">Re-solve every missed/unattempted question from GATE 2015 CS Official Paper (Set 1) + solve 30 parallel Gate Overflow Level-3 questions on those exact sub-topics (Operating Systems + COA (Hardware-Software Interface Pairing))</t>
  </si>
  <si>
    <t xml:space="preserve">Revise 10-page handwritten short notes for Operating Systems + Conditional Probability, Bayes' Theorem, Poisson/Normal/Exponential Distributions (10 PYQs) + Syllogisms, Seating &amp; Puzzles (10 PYQs) + Error Register Review</t>
  </si>
  <si>
    <t xml:space="preserve">Day 71</t>
  </si>
  <si>
    <t xml:space="preserve">Take a 65-question full mock or two 30-question multi-subject tests covering C Programming &amp; Data Structures + Discrete Mathematics Pairing</t>
  </si>
  <si>
    <t xml:space="preserve">High-Yield Paired PYQ Sprint: C Programming &amp; Data Structures + Discrete Mathematics Pairing (2.5h)</t>
  </si>
  <si>
    <t xml:space="preserve">Day 72</t>
  </si>
  <si>
    <t xml:space="preserve">HOLIDAY: Christmas Day</t>
  </si>
  <si>
    <t xml:space="preserve">Public Holiday — Mid-Winter Mental Recharge Break</t>
  </si>
  <si>
    <t xml:space="preserve">Day 73</t>
  </si>
  <si>
    <t xml:space="preserve">Official Past Paper: GATE 2016 CS Official Paper (Set 1) (2.5h Timed)</t>
  </si>
  <si>
    <t xml:space="preserve">Solve full 65-Q paper in 150 mins; focus on Algorithms, Graph Theory &amp; Pipelining; replicate exact 3-round exam selection strategy</t>
  </si>
  <si>
    <t xml:space="preserve">Deep Post-Mortem of GATE 2016 CS Official Paper (Set 1) + Parallel L3 PYQs (2.5h)</t>
  </si>
  <si>
    <t xml:space="preserve">Re-solve every missed/unattempted question from GATE 2016 CS Official Paper (Set 1) + solve 30 parallel Gate Overflow Level-3 questions on those exact sub-topics (Algorithms + Discrete Graph Theory (Algorithmic Graph Pairing))</t>
  </si>
  <si>
    <t xml:space="preserve">Revise 10-page handwritten short notes for Algorithms + Eigenvalues/Rank &amp; Bayes' Theorem Mixed Drill (10 PYQs) + Data Interpretation Charts/Tables &amp; Quantitative Geometry (10 PYQs) + Error Register Review</t>
  </si>
  <si>
    <t xml:space="preserve">Day 74</t>
  </si>
  <si>
    <t xml:space="preserve">Weekly Mock Test 11 (All-India Test Series)</t>
  </si>
  <si>
    <t xml:space="preserve">Full 65-Question / 100-Mark CBT Simulation (2:00–5:00 PM IST): Year-end full benchmark simulation</t>
  </si>
  <si>
    <t xml:space="preserve">Full review of MSQ partial-option traps across OS, DBMS, TOC, and CN</t>
  </si>
  <si>
    <t xml:space="preserve">Solve 25 MSQ-heavy questions across theoretical CS subjects</t>
  </si>
  <si>
    <t xml:space="preserve">Day 75</t>
  </si>
  <si>
    <t xml:space="preserve">Take a 65-question full mock or two 30-question multi-subject tests covering DBMS + COA + Digital Logic (3-Subject Precision Pairing)</t>
  </si>
  <si>
    <t xml:space="preserve">High-Yield Paired PYQ Sprint: DBMS + COA + Digital Logic (3-Subject Precision Pairing) (2.5h)</t>
  </si>
  <si>
    <t xml:space="preserve">Day 76</t>
  </si>
  <si>
    <t xml:space="preserve">Official Past Paper: GATE 2017 CS Official Paper (Set 1) (2.5h Timed)</t>
  </si>
  <si>
    <t xml:space="preserve">Solve full 65-Q paper in 150 mins; focus on Compiler parsing, TOC &amp; Linear Algebra; replicate exact 3-round exam selection strategy</t>
  </si>
  <si>
    <t xml:space="preserve">Deep Post-Mortem of GATE 2017 CS Official Paper (Set 1) + Parallel L3 PYQs (2.5h)</t>
  </si>
  <si>
    <t xml:space="preserve">Re-solve every missed/unattempted question from GATE 2017 CS Official Paper (Set 1) + solve 30 parallel Gate Overflow Level-3 questions on those exact sub-topics (TOC + Compiler Design + Digital Logic (3-Subject Interleaved Pairing))</t>
  </si>
  <si>
    <t xml:space="preserve">Day 77</t>
  </si>
  <si>
    <t xml:space="preserve">Day 78</t>
  </si>
  <si>
    <t xml:space="preserve">Official Past Paper: GATE 2018 CS Official Paper (2.5h Timed)</t>
  </si>
  <si>
    <t xml:space="preserve">Solve full 65-Q paper in 150 mins; IIT Guwahati paper — strong conceptual NATs; replicate exact 3-round exam selection strategy</t>
  </si>
  <si>
    <t xml:space="preserve">Deep Post-Mortem of GATE 2018 CS Official Paper + Parallel L3 PYQs (2.5h)</t>
  </si>
  <si>
    <t xml:space="preserve">Re-solve every missed/unattempted question from GATE 2018 CS Official Paper + solve 30 parallel Gate Overflow Level-3 questions on those exact sub-topics (Operating Systems + COA (Hardware-Software Interface Pairing))</t>
  </si>
  <si>
    <t xml:space="preserve">Day 79</t>
  </si>
  <si>
    <t xml:space="preserve">HOLIDAY: New Year's Day</t>
  </si>
  <si>
    <t xml:space="preserve">Public Holiday Break — Reset Before Final 35-Day Sprint</t>
  </si>
  <si>
    <t xml:space="preserve">Day 80</t>
  </si>
  <si>
    <t xml:space="preserve">Day 81</t>
  </si>
  <si>
    <t xml:space="preserve">Weekly Mock Test 12 (New Year All-India Mock)</t>
  </si>
  <si>
    <t xml:space="preserve">Full 65-Question / 100-Mark CBT Simulation (2:00–5:00 PM IST): Target 80+ Raw Marks milestone</t>
  </si>
  <si>
    <t xml:space="preserve">Audit calculation precision on IEEE 754, Disk Seek Time, TCP Window &amp; Cache Tag bits</t>
  </si>
  <si>
    <t xml:space="preserve">Solve 25 NAT numericals using only the official GATE virtual calculator interface</t>
  </si>
  <si>
    <t xml:space="preserve">Day 82</t>
  </si>
  <si>
    <t xml:space="preserve">Official Past Paper: GATE 2019 CS Official Paper (2.5h Timed)</t>
  </si>
  <si>
    <t xml:space="preserve">Solve full 65-Q paper in 150 mins; IIT Madras paper (Crucial — IIT Madras conducts GATE 2027!); replicate exact 3-round exam selection strategy</t>
  </si>
  <si>
    <t xml:space="preserve">Deep Post-Mortem of GATE 2019 CS Official Paper + Parallel L3 PYQs (2.5h)</t>
  </si>
  <si>
    <t xml:space="preserve">Re-solve every missed/unattempted question from GATE 2019 CS Official Paper + solve 30 parallel Gate Overflow Level-3 questions on those exact sub-topics (Algorithms + Discrete Graph Theory (Algorithmic Graph Pairing))</t>
  </si>
  <si>
    <t xml:space="preserve">Day 83</t>
  </si>
  <si>
    <t xml:space="preserve">Day 84</t>
  </si>
  <si>
    <t xml:space="preserve">Official Past Paper: GATE 2020 CS Official Paper (2.5h Timed)</t>
  </si>
  <si>
    <t xml:space="preserve">Solve full 65-Q paper in 150 mins; IIT Delhi paper — high-precision COA, OS &amp; DBMS; replicate exact 3-round exam selection strategy</t>
  </si>
  <si>
    <t xml:space="preserve">Deep Post-Mortem of GATE 2020 CS Official Paper + Parallel L3 PYQs (2.5h)</t>
  </si>
  <si>
    <t xml:space="preserve">Re-solve every missed/unattempted question from GATE 2020 CS Official Paper + solve 30 parallel Gate Overflow Level-3 questions on those exact sub-topics (TOC + Compiler Design + Digital Logic (3-Subject Interleaved Pairing))</t>
  </si>
  <si>
    <t xml:space="preserve">Day 85</t>
  </si>
  <si>
    <t xml:space="preserve">Day 86</t>
  </si>
  <si>
    <t xml:space="preserve">Official Past Paper: GATE 2021 CS Official Paper (Set 1) (2.5h Timed)</t>
  </si>
  <si>
    <t xml:space="preserve">Solve full 65-Q paper in 150 mins; first year of MSQs — practice MSQ option rigor; replicate exact 3-round exam selection strategy</t>
  </si>
  <si>
    <t xml:space="preserve">Deep Post-Mortem of GATE 2021 CS Official Paper (Set 1) + Parallel L3 PYQs (2.5h)</t>
  </si>
  <si>
    <t xml:space="preserve">Re-solve every missed/unattempted question from GATE 2021 CS Official Paper (Set 1) + solve 30 parallel Gate Overflow Level-3 questions on those exact sub-topics (Operating Systems + COA (Hardware-Software Interface Pairing))</t>
  </si>
  <si>
    <t xml:space="preserve">Day 87</t>
  </si>
  <si>
    <t xml:space="preserve">Day 88</t>
  </si>
  <si>
    <t xml:space="preserve">Weekly Mock Test 13 (Pre-Sankranti All-India Mock)</t>
  </si>
  <si>
    <t xml:space="preserve">Full 65-Question / 100-Mark CBT Simulation (2:00–5:00 PM IST): High-difficulty stress-test simulation</t>
  </si>
  <si>
    <t xml:space="preserve">Verify composure when encountering 4–5 unfamiliar/ lengthy questions; practice skipping time-sinks</t>
  </si>
  <si>
    <t xml:space="preserve">Solve 25 bookmarked hard questions from Gate Overflow</t>
  </si>
  <si>
    <t xml:space="preserve">Day 89</t>
  </si>
  <si>
    <t xml:space="preserve">Official Past Paper: GATE 2021 CS Official Paper (Set 2) (2.5h Timed)</t>
  </si>
  <si>
    <t xml:space="preserve">Solve full 65-Q paper in 150 mins; second MSQ paper — focus on CN, OS &amp; TOC MSQs; replicate exact 3-round exam selection strategy</t>
  </si>
  <si>
    <t xml:space="preserve">Deep Post-Mortem of GATE 2021 CS Official Paper (Set 2) + Parallel L3 PYQs (2.5h)</t>
  </si>
  <si>
    <t xml:space="preserve">Re-solve every missed/unattempted question from GATE 2021 CS Official Paper (Set 2) + solve 30 parallel Gate Overflow Level-3 questions on those exact sub-topics (Algorithms + Discrete Graph Theory (Algorithmic Graph Pairing))</t>
  </si>
  <si>
    <t xml:space="preserve">Day 90</t>
  </si>
  <si>
    <t xml:space="preserve">Day 91</t>
  </si>
  <si>
    <t xml:space="preserve">Official Past Paper: GATE 2022 CS Official Paper (2.5h Timed)</t>
  </si>
  <si>
    <t xml:space="preserve">Solve full 65-Q paper in 150 mins; IIT Kharagpur paper — tricky NATs &amp; multi-concept MSQs; replicate exact 3-round exam selection strategy</t>
  </si>
  <si>
    <t xml:space="preserve">Deep Post-Mortem of GATE 2022 CS Official Paper + Parallel L3 PYQs (2.5h)</t>
  </si>
  <si>
    <t xml:space="preserve">Re-solve every missed/unattempted question from GATE 2022 CS Official Paper + solve 30 parallel Gate Overflow Level-3 questions on those exact sub-topics (TOC + Compiler Design + Digital Logic (3-Subject Interleaved Pairing))</t>
  </si>
  <si>
    <t xml:space="preserve">Day 92</t>
  </si>
  <si>
    <t xml:space="preserve">HOLIDAY: Bhogi Festival (Sankranti Block Day 1)</t>
  </si>
  <si>
    <t xml:space="preserve">Telugu Sankranti Festival Block — Zero Study Assigned</t>
  </si>
  <si>
    <t xml:space="preserve">Day 93</t>
  </si>
  <si>
    <t xml:space="preserve">HOLIDAY: Makar Sankranti / Pedda Panduga (Day 2)</t>
  </si>
  <si>
    <t xml:space="preserve">Day 94</t>
  </si>
  <si>
    <t xml:space="preserve">HOLIDAY: Kanuma Festival (Sankranti Block Day 3)</t>
  </si>
  <si>
    <t xml:space="preserve">Day 95</t>
  </si>
  <si>
    <t xml:space="preserve">Weekly Mock Test 14 (Post-Sankranti All-India Mock)</t>
  </si>
  <si>
    <t xml:space="preserve">Full 65-Question / 100-Mark CBT Simulation (2:00–5:00 PM IST): Target 82–85+ Raw Marks milestone</t>
  </si>
  <si>
    <t xml:space="preserve">Complete post-mortem sweep; update final 1-page ultra-condensed cheat sheets per subject</t>
  </si>
  <si>
    <t xml:space="preserve">Solve 25 questions from any topic where accuracy dipped after Sankranti break</t>
  </si>
  <si>
    <t xml:space="preserve">Day 96</t>
  </si>
  <si>
    <t xml:space="preserve">Day 97</t>
  </si>
  <si>
    <t xml:space="preserve">Official Past Paper: GATE 2023 CS Official Paper (2.5h Timed)</t>
  </si>
  <si>
    <t xml:space="preserve">Solve full 65-Q paper in 150 mins; 34 MCQ + 15 MSQ + 16 NAT (12m COA, 11m P&amp;DS); replicate exact 3-round exam selection strategy</t>
  </si>
  <si>
    <t xml:space="preserve">Deep Post-Mortem of GATE 2023 CS Official Paper + Parallel L3 PYQs (2.5h)</t>
  </si>
  <si>
    <t xml:space="preserve">Re-solve every missed/unattempted question from GATE 2023 CS Official Paper + solve 30 parallel Gate Overflow Level-3 questions on those exact sub-topics (Operating Systems + COA (Hardware-Software Interface Pairing))</t>
  </si>
  <si>
    <t xml:space="preserve">Day 98</t>
  </si>
  <si>
    <t xml:space="preserve">Day 99</t>
  </si>
  <si>
    <t xml:space="preserve">Official Past Paper: GATE 2024 CS Official Paper (Set 1) (2.5h Timed)</t>
  </si>
  <si>
    <t xml:space="preserve">Solve full 65-Q paper in 150 mins; 19 MCQ + 20 MSQ + 16 NAT (High MSQ benchmark); replicate exact 3-round exam selection strategy</t>
  </si>
  <si>
    <t xml:space="preserve">Deep Post-Mortem of GATE 2024 CS Official Paper (Set 1) + Parallel L3 PYQs (2.5h)</t>
  </si>
  <si>
    <t xml:space="preserve">Re-solve every missed/unattempted question from GATE 2024 CS Official Paper (Set 1) + solve 30 parallel Gate Overflow Level-3 questions on those exact sub-topics (Algorithms + Discrete Graph Theory (Algorithmic Graph Pairing))</t>
  </si>
  <si>
    <t xml:space="preserve">Day 100</t>
  </si>
  <si>
    <t xml:space="preserve">Day 101</t>
  </si>
  <si>
    <t xml:space="preserve">Official Past Paper: GATE 2024 CS Official Paper (Set 2) (2.5h Timed)</t>
  </si>
  <si>
    <t xml:space="preserve">Solve full 65-Q paper in 150 mins; verify 85+ mark accuracy under heavy MSQ load; replicate exact 3-round exam selection strategy</t>
  </si>
  <si>
    <t xml:space="preserve">Deep Post-Mortem of GATE 2024 CS Official Paper (Set 2) + Parallel L3 PYQs (2.5h)</t>
  </si>
  <si>
    <t xml:space="preserve">Re-solve every missed/unattempted question from GATE 2024 CS Official Paper (Set 2) + solve 30 parallel Gate Overflow Level-3 questions on those exact sub-topics (TOC + Compiler Design + Digital Logic (3-Subject Interleaved Pairing))</t>
  </si>
  <si>
    <t xml:space="preserve">Day 102</t>
  </si>
  <si>
    <t xml:space="preserve">Weekly Mock Test 15 (Penultimate All-India Mock)</t>
  </si>
  <si>
    <t xml:space="preserve">Full 65-Question / 100-Mark CBT Simulation (2:00–5:00 PM IST): Target 85+ Raw Marks (AIR &lt; 10 Zone)</t>
  </si>
  <si>
    <t xml:space="preserve">Final check of time allocation: 25m GA + 30m Math + 125m Technical</t>
  </si>
  <si>
    <t xml:space="preserve">Re-solve 20 most-missed questions from Mocks 1–15</t>
  </si>
  <si>
    <t xml:space="preserve">Day 103</t>
  </si>
  <si>
    <t xml:space="preserve">Phase 4: Final AIR &lt; 10 Peak Polish, Error-Register Zeroing &amp; 4th Revision Pass</t>
  </si>
  <si>
    <t xml:space="preserve">Starred Error-Register Zeroing: Computer Networks + DBMS (2-Subject Interleaved Pairing) (2.5h)</t>
  </si>
  <si>
    <t xml:space="preserve">Re-solve all bookmarked/starred PYQs and previous mock mistakes in Computer Networks + DBMS (2-Subject Interleaved Pairing) without looking at solutions</t>
  </si>
  <si>
    <t xml:space="preserve">40 Starred Error-Register &amp; Gate Overflow L3 Questions</t>
  </si>
  <si>
    <t xml:space="preserve">Rapid 3-to-4 Subject Short-Notes Walkthrough (2.5h)</t>
  </si>
  <si>
    <t xml:space="preserve">Complete high-speed active recall pass of 10-page handwritten short notes for Computer Networks + DBMS (2-Subject Interleaved Pairing) (verifying all edge cases &amp; formulas)</t>
  </si>
  <si>
    <t xml:space="preserve">Virtual Calculator Speed &amp; Formula Polish (1.5h)</t>
  </si>
  <si>
    <t xml:space="preserve">Review [GATE FARREY.pdf] formulas + Limits, Continuity, Maxima/Minima, Definite Integrals (10 PYQs) + Ratios, Percentages, Time/Work, Profit/Loss (10 PYQs) + Error Register Review</t>
  </si>
  <si>
    <t xml:space="preserve">Day 104</t>
  </si>
  <si>
    <t xml:space="preserve">HOLIDAY: Republic Day</t>
  </si>
  <si>
    <t xml:space="preserve">National Public Holiday — Final Pre-Exam Rest Buffer</t>
  </si>
  <si>
    <t xml:space="preserve">Day 105</t>
  </si>
  <si>
    <t xml:space="preserve">Starred Error-Register Zeroing: Operating Systems + COA (Hardware-Software Interface Pairing) (2.5h)</t>
  </si>
  <si>
    <t xml:space="preserve">Re-solve all bookmarked/starred PYQs and previous mock mistakes in Operating Systems + COA (Hardware-Software Interface Pairing) without looking at solutions</t>
  </si>
  <si>
    <t xml:space="preserve">Complete high-speed active recall pass of 10-page handwritten short notes for Operating Systems + COA (Hardware-Software Interface Pairing) (verifying all edge cases &amp; formulas)</t>
  </si>
  <si>
    <t xml:space="preserve">Review [GATE FARREY.pdf] formulas + Conditional Probability, Bayes' Theorem, Poisson/Normal/Exponential Distributions (10 PYQs) + Syllogisms, Seating &amp; Puzzles (10 PYQs) + Error Register Review</t>
  </si>
  <si>
    <t xml:space="preserve">Day 106</t>
  </si>
  <si>
    <t xml:space="preserve">Starred Error-Register Zeroing: C Programming &amp; Data Structures + Discrete Mathematics Pairing (2.5h)</t>
  </si>
  <si>
    <t xml:space="preserve">Re-solve all bookmarked/starred PYQs and previous mock mistakes in C Programming &amp; Data Structures + Discrete Mathematics Pairing without looking at solutions</t>
  </si>
  <si>
    <t xml:space="preserve">Complete high-speed active recall pass of 10-page handwritten short notes for C Programming &amp; Data Structures + Discrete Mathematics Pairing (verifying all edge cases &amp; formulas)</t>
  </si>
  <si>
    <t xml:space="preserve">Review [GATE FARREY.pdf] formulas + Generating Functions, Recurrences, Inclusion-Exclusion, Derangements (10 PYQs) + 2D/3D Spatial Folding, Mirror Images &amp; Rotations (10 PYQs) + Error Register Review</t>
  </si>
  <si>
    <t xml:space="preserve">Day 107</t>
  </si>
  <si>
    <t xml:space="preserve">Starred Error-Register Zeroing: Algorithms + Discrete Graph Theory (Algorithmic Graph Pairing) (2.5h)</t>
  </si>
  <si>
    <t xml:space="preserve">Re-solve all bookmarked/starred PYQs and previous mock mistakes in Algorithms + Discrete Graph Theory (Algorithmic Graph Pairing) without looking at solutions</t>
  </si>
  <si>
    <t xml:space="preserve">Complete high-speed active recall pass of 10-page handwritten short notes for Algorithms + Discrete Graph Theory (Algorithmic Graph Pairing) (verifying all edge cases &amp; formulas)</t>
  </si>
  <si>
    <t xml:space="preserve">Review [GATE FARREY.pdf] formulas + Eigenvalues/Rank &amp; Bayes' Theorem Mixed Drill (10 PYQs) + Data Interpretation Charts/Tables &amp; Quantitative Geometry (10 PYQs) + Error Register Review</t>
  </si>
  <si>
    <t xml:space="preserve">Day 108</t>
  </si>
  <si>
    <t xml:space="preserve">Starred Error-Register Zeroing: DBMS + COA + Digital Logic (3-Subject Precision Pairing) (2.5h)</t>
  </si>
  <si>
    <t xml:space="preserve">Re-solve all bookmarked/starred PYQs and previous mock mistakes in DBMS + COA + Digital Logic (3-Subject Precision Pairing) without looking at solutions</t>
  </si>
  <si>
    <t xml:space="preserve">Complete high-speed active recall pass of 10-page handwritten short notes for DBMS + COA + Digital Logic (3-Subject Precision Pairing) (verifying all edge cases &amp; formulas)</t>
  </si>
  <si>
    <t xml:space="preserve">Review [GATE FARREY.pdf] formulas + Solve 20 Questions (10 GA + 10 Math/Discrete Math = 28 Marks) under a strict 45-minute timer + 45-minute error analysis &amp; formula flashcard update</t>
  </si>
  <si>
    <t xml:space="preserve">Day 109</t>
  </si>
  <si>
    <t xml:space="preserve">Weekly Mock Test 16 (Final Pre-GATE Dress Rehearsal)</t>
  </si>
  <si>
    <t xml:space="preserve">Full 65-Question / 100-Mark CBT Simulation (2:00–5:00 PM IST): Exact exam-day biological clock &amp; mindset rehearsal</t>
  </si>
  <si>
    <t xml:space="preserve">2.0h Confidence &amp; Strategy Review</t>
  </si>
  <si>
    <t xml:space="preserve">Light review of errors; no panic over isolated tough questions; lock in exam-day routine</t>
  </si>
  <si>
    <t xml:space="preserve">1.5h Formula Consolidation</t>
  </si>
  <si>
    <t xml:space="preserve">Review GATE FARREY &amp; personal 10-page short notes across all 11 subjects</t>
  </si>
  <si>
    <t xml:space="preserve">Day 110</t>
  </si>
  <si>
    <t xml:space="preserve">Starred Error-Register Zeroing: TOC + Compiler Design + Digital Logic (3-Subject Interleaved Pairing) (2.5h)</t>
  </si>
  <si>
    <t xml:space="preserve">Re-solve all bookmarked/starred PYQs and previous mock mistakes in TOC + Compiler Design + Digital Logic (3-Subject Interleaved Pairing) without looking at solutions</t>
  </si>
  <si>
    <t xml:space="preserve">Complete high-speed active recall pass of 10-page handwritten short notes for TOC + Compiler Design + Digital Logic (3-Subject Interleaved Pairing) (verifying all edge cases &amp; formulas)</t>
  </si>
  <si>
    <t xml:space="preserve">Review [GATE FARREY.pdf] formulas + Eigenvalues, Rank, System of Equations (10 PYQs) + Verbal Grammar, Sentence Completion &amp; Critical Reasoning (10 PYQs) + Error Register Review</t>
  </si>
  <si>
    <t xml:space="preserve">Day 111</t>
  </si>
  <si>
    <t xml:space="preserve">Day 112</t>
  </si>
  <si>
    <t xml:space="preserve">Day 113</t>
  </si>
  <si>
    <t xml:space="preserve">Day 114</t>
  </si>
  <si>
    <t xml:space="preserve">Day 115</t>
  </si>
  <si>
    <t xml:space="preserve">Light Formula &amp; 10-Page Short-Notes Skim (2.0h)</t>
  </si>
  <si>
    <t xml:space="preserve">Calmly skim GATE FARREY formula sheets, closure/decidability matrices, cache/paging formulas, and parsing hierarchy</t>
  </si>
  <si>
    <t xml:space="preserve">0 New Questions — Formula &amp; Visual Memory Refresh Only</t>
  </si>
  <si>
    <t xml:space="preserve">Exam-Day Logistics &amp; Biological Clock Alignment (1.5h)</t>
  </si>
  <si>
    <t xml:space="preserve">Verify printed Admit Card, original Government Photo ID, exam center travel route, and sleep by 10:00 PM IST</t>
  </si>
  <si>
    <t xml:space="preserve">Mental Calm &amp; Rest</t>
  </si>
  <si>
    <t xml:space="preserve">Zero heavy problem solving; stay hydrated, relaxed, and confident for IIT Madras GATE 2027</t>
  </si>
  <si>
    <t xml:space="preserve">Day 116</t>
  </si>
  <si>
    <t xml:space="preserve">TOTAL</t>
  </si>
  <si>
    <t xml:space="preserve">104 Active</t>
  </si>
  <si>
    <t xml:space="preserve">12 Festival/Public Holidays Off + 16 Weekly Mocks</t>
  </si>
  <si>
    <t xml:space="preserve">GATE 2027 CSE — Exhaustive High-Frequency Topic &amp; PYQ Trap Master Checklist (All 11 Subjects)</t>
  </si>
  <si>
    <t xml:space="preserve">Every sub-topic ranked by historical GATE appearance frequency (2015–2025), typical mark yield, recurring IIT question archetypes, and scheduled days in Sheet 2.</t>
  </si>
  <si>
    <t xml:space="preserve">Subject</t>
  </si>
  <si>
    <t xml:space="preserve">High-Yield Topic / Sub-Topic</t>
  </si>
  <si>
    <t xml:space="preserve">PYQ Frequency Tier</t>
  </si>
  <si>
    <t xml:space="preserve">Typical Marks</t>
  </si>
  <si>
    <t xml:space="preserve">Dominant Format</t>
  </si>
  <si>
    <t xml:space="preserve">Recurring GATE Question Archetype &amp; Common Exam Trap</t>
  </si>
  <si>
    <t xml:space="preserve">Scheduled Days (Sheet 2)</t>
  </si>
  <si>
    <t xml:space="preserve">Pass 1: Concept + PYQs</t>
  </si>
  <si>
    <t xml:space="preserve">Pass 2: Short Notes + Test</t>
  </si>
  <si>
    <t xml:space="preserve">Pass 3: Starred L3 Re-Solve</t>
  </si>
  <si>
    <t xml:space="preserve">Programming &amp; DS</t>
  </si>
  <si>
    <t xml:space="preserve">C Pointers, 2D Arrays &amp; Strings</t>
  </si>
  <si>
    <t xml:space="preserve">Tier 1: Every Year Guaranteed</t>
  </si>
  <si>
    <t xml:space="preserve">NAT</t>
  </si>
  <si>
    <t xml:space="preserve">Tracing output of `*(a+i)+j`, array of pointers, pointer aliasing, and string literal modification/length</t>
  </si>
  <si>
    <t xml:space="preserve">Day 1, Day 35, Day 43</t>
  </si>
  <si>
    <t xml:space="preserve">Completed</t>
  </si>
  <si>
    <t xml:space="preserve">Recursion &amp; Static/Global Variables</t>
  </si>
  <si>
    <t xml:space="preserve">Counting total function calls or printed value when `static` variable persists across recursive stack frames</t>
  </si>
  <si>
    <t xml:space="preserve">Day 1, Day 35, Day 50</t>
  </si>
  <si>
    <t xml:space="preserve">Linked Lists, Stacks &amp; Queues</t>
  </si>
  <si>
    <t xml:space="preserve">Tier 2: High Frequency (4/5 yrs)</t>
  </si>
  <si>
    <t xml:space="preserve">MCQ + NAT</t>
  </si>
  <si>
    <t xml:space="preserve">C pointer manipulation on singly/doubly list (detecting whether code reverses/deletes node), infix-to-postfix stack max size</t>
  </si>
  <si>
    <t xml:space="preserve">Day 2, Day 35, Day 57</t>
  </si>
  <si>
    <t xml:space="preserve">Binary Trees, BST &amp; AVL Rotations</t>
  </si>
  <si>
    <t xml:space="preserve">Reconstructing tree from Pre+In or Post+In traversal, min/max nodes in AVL tree of height h, BST successor/predecessor</t>
  </si>
  <si>
    <t xml:space="preserve">Day 8, Day 35, Day 64</t>
  </si>
  <si>
    <t xml:space="preserve">Binary Heaps &amp; Hashing Collisions</t>
  </si>
  <si>
    <t xml:space="preserve">`O(n)` Build-Heap swaps, k-th smallest in min-heap, Linear/Quadratic probing insertion sequence &amp; collision count</t>
  </si>
  <si>
    <t xml:space="preserve">Day 8, Day 43, Day 71</t>
  </si>
  <si>
    <t xml:space="preserve">Asymptotic Analysis &amp; Master Theorem</t>
  </si>
  <si>
    <t xml:space="preserve">MCQ + MSQ</t>
  </si>
  <si>
    <t xml:space="preserve">Ordering tricky functions (`n^log n`, `(log n)!`, `2^(√log n)`), solving recurrences via Master Theorem &amp; substitution</t>
  </si>
  <si>
    <t xml:space="preserve">Day 9, Day 36, Day 44</t>
  </si>
  <si>
    <t xml:space="preserve">Sorting, Searching &amp; Divide-and-Conquer</t>
  </si>
  <si>
    <t xml:space="preserve">QuickSort worst/best pivot comparisons, MergeSort inversion count, stability &amp; in-place properties of sorting algorithms</t>
  </si>
  <si>
    <t xml:space="preserve">Day 9, Day 10, Day 36</t>
  </si>
  <si>
    <t xml:space="preserve">Greedy Algorithms (Huffman, MST, Knapsack)</t>
  </si>
  <si>
    <t xml:space="preserve">Huffman average bits per char, Prim's/Kruskal's distinct MST count when edge weights repeat, Greedy choice counterexamples</t>
  </si>
  <si>
    <t xml:space="preserve">Day 10, Day 36, Day 51</t>
  </si>
  <si>
    <t xml:space="preserve">Dynamic Programming (LCS, MCM, Knapsack)</t>
  </si>
  <si>
    <t xml:space="preserve">Filling DP table for LCS or Matrix Chain Multiplication, time complexity of pseudo-polynomial 0/1 Knapsack</t>
  </si>
  <si>
    <t xml:space="preserve">Day 12, Day 36, Day 58</t>
  </si>
  <si>
    <t xml:space="preserve">Graph Shortest Paths &amp; Traversals (BFS/DFS)</t>
  </si>
  <si>
    <t xml:space="preserve">DFS tree/back/cross edge conditions, Topological sort count, Dijkstra failure on negative edges, Bellman-Ford iterations</t>
  </si>
  <si>
    <t xml:space="preserve">Day 12, Day 36, Day 65</t>
  </si>
  <si>
    <t xml:space="preserve">Theory of Computation</t>
  </si>
  <si>
    <t xml:space="preserve">DFA/NFA Construction &amp; Minimization</t>
  </si>
  <si>
    <t xml:space="preserve">Finding exact minimum number of states in DFA for divisibility/modulo or substring patterns using Myhill-Nerode</t>
  </si>
  <si>
    <t xml:space="preserve">Day 1, Day 12, Day 31</t>
  </si>
  <si>
    <t xml:space="preserve">Pending (25% Done)</t>
  </si>
  <si>
    <t xml:space="preserve">Regular Expressions &amp; Pumping Lemma</t>
  </si>
  <si>
    <t xml:space="preserve">Equivalence of two complex regular expressions, identifying non-regular language via Pumping Lemma contrapositive</t>
  </si>
  <si>
    <t xml:space="preserve">Day 1, Day 12, Day 38</t>
  </si>
  <si>
    <t xml:space="preserve">CFG, Ambiguity, PDA (DPDA vs NPDA)</t>
  </si>
  <si>
    <t xml:space="preserve">Matching CFG to exact set-builder language, distinguishing DCFL (`wcw^R`, `a^n b^n`) from non-deterministic CFL (`ww^R`)</t>
  </si>
  <si>
    <t xml:space="preserve">Day 2, Day 8, Day 47</t>
  </si>
  <si>
    <t xml:space="preserve">Closure Properties Matrix (Reg to RE)</t>
  </si>
  <si>
    <t xml:space="preserve">MSQ</t>
  </si>
  <si>
    <t xml:space="preserve">Multi-select questions testing closure of Regular, DCFL, CFL, Recursive, and RE under Union, Intersection, Complement, Homomorphism</t>
  </si>
  <si>
    <t xml:space="preserve">Day 1, Day 8, Day 9, Day 12</t>
  </si>
  <si>
    <t xml:space="preserve">Turing Machines, Halting, Reductions &amp; Rice's Theorem</t>
  </si>
  <si>
    <t xml:space="preserve">Decidability of emptiness/finiteness/equivalence/ambiguity; applying Rice's Theorem to non-trivial semantic properties of RE</t>
  </si>
  <si>
    <t xml:space="preserve">Day 9, Day 10, Day 12, Day 54</t>
  </si>
  <si>
    <t xml:space="preserve">Compiler Design</t>
  </si>
  <si>
    <t xml:space="preserve">Lexical Analysis &amp; Regex-to-DFA</t>
  </si>
  <si>
    <t xml:space="preserve">Tier 2: High Frequency (3/5 yrs)</t>
  </si>
  <si>
    <t xml:space="preserve">Counting exact number of tokens read by a C lexical analyzer using Maximal Munch rule</t>
  </si>
  <si>
    <t xml:space="preserve">Day 13, Day 20, Day 31</t>
  </si>
  <si>
    <t xml:space="preserve">FIRST &amp; FOLLOW Sets, LL(1) Parsing</t>
  </si>
  <si>
    <t xml:space="preserve">Computing `FIRST` and `FOLLOW` sets with nullable non-terminals, checking if grammar is `LL(1)` after left-factoring</t>
  </si>
  <si>
    <t xml:space="preserve">Day 14, Day 15, Day 20</t>
  </si>
  <si>
    <t xml:space="preserve">LR(0), SLR(1), CLR(1) &amp; LALR(1) Parsing</t>
  </si>
  <si>
    <t xml:space="preserve">Counting canonical `LR(0)` states, identifying Shift-Reduce vs Reduce-Reduce conflicts across SLR/LALR/CLR hierarchy</t>
  </si>
  <si>
    <t xml:space="preserve">Day 16, Day 17, Day 20</t>
  </si>
  <si>
    <t xml:space="preserve">Syntax-Directed Translation (SDT)</t>
  </si>
  <si>
    <t xml:space="preserve">Tracing bottom-up or top-down parse tree evaluation to compute the exact numeric value printed at the root</t>
  </si>
  <si>
    <t xml:space="preserve">Day 19, Day 20, Day 38</t>
  </si>
  <si>
    <t xml:space="preserve">3-Address Code, Basic Blocks, DAG &amp; Liveness</t>
  </si>
  <si>
    <t xml:space="preserve">Counting leaders/basic blocks, minimum registers needed via Liveness Analysis `IN/OUT` sets &amp; SSA variable renaming</t>
  </si>
  <si>
    <t xml:space="preserve">Day 19, Day 20, Day 47</t>
  </si>
  <si>
    <t xml:space="preserve">Computer Networks</t>
  </si>
  <si>
    <t xml:space="preserve">Stop-and-Wait, Go-Back-N &amp; Selective Repeat</t>
  </si>
  <si>
    <t xml:space="preserve">Calculating link utilization `1/(1+2a)`, minimum sequence number bits (`N+1` vs `2N`), and throughput with packet drops</t>
  </si>
  <si>
    <t xml:space="preserve">Day 21, Day 30, Day 33</t>
  </si>
  <si>
    <t xml:space="preserve">MAC Layer: ALOHA, CSMA/CD &amp; Backoff</t>
  </si>
  <si>
    <t xml:space="preserve">Minimum frame size `L = 2 * Tp * B` in CSMA/CD, Binary Exponential Backoff contention window probability</t>
  </si>
  <si>
    <t xml:space="preserve">Day 22, Day 33, Day 40</t>
  </si>
  <si>
    <t xml:space="preserve">IPv4 Subnetting, VLSM, CIDR &amp; LPM Routing</t>
  </si>
  <si>
    <t xml:space="preserve">Longest Prefix Match forwarding table lookup, CIDR route aggregation, and usable host/broadcast calculation</t>
  </si>
  <si>
    <t xml:space="preserve">Day 23, Day 26, Day 33</t>
  </si>
  <si>
    <t xml:space="preserve">IPv4 Fragmentation &amp; Routing (DV / OSPF)</t>
  </si>
  <si>
    <t xml:space="preserve">Calculating fragment offset (multiples of 8 bytes) &amp; MF flag across multi-MTU links; Count-to-Infinity in Distance Vector</t>
  </si>
  <si>
    <t xml:space="preserve">Day 27, Day 28, Day 48</t>
  </si>
  <si>
    <t xml:space="preserve">TCP Header, Flow &amp; Congestion Control (AIMD)</t>
  </si>
  <si>
    <t xml:space="preserve">Tracking `cwnd` and `ssthresh` across Slow Start, Congestion Avoidance, 3-Dup-ACKs &amp; Timeout; Sequence wrap-around time</t>
  </si>
  <si>
    <t xml:space="preserve">Day 28, Day 29, Day 55</t>
  </si>
  <si>
    <t xml:space="preserve">Token Bucket, DNS, HTTP, SMTP &amp; RSA</t>
  </si>
  <si>
    <t xml:space="preserve">Token bucket max burst time, HTTP persistent/non-persistent RTT count, DNS iterative/recursive queries &amp; RSA keys</t>
  </si>
  <si>
    <t xml:space="preserve">Day 30, Day 40, Day 62</t>
  </si>
  <si>
    <t xml:space="preserve">Operating Systems</t>
  </si>
  <si>
    <t xml:space="preserve">Processes, `fork()` &amp; CPU Scheduling</t>
  </si>
  <si>
    <t xml:space="preserve">Counting child processes created by `fork()` loops/logical AND/OR; SRTF &amp; Round Robin turnaround/waiting time</t>
  </si>
  <si>
    <t xml:space="preserve">Day 21, Day 34, Day 42</t>
  </si>
  <si>
    <t xml:space="preserve">Process Synchronization &amp; Semaphores</t>
  </si>
  <si>
    <t xml:space="preserve">Tracing semaphore `P(S)` and `V(S)` across concurrent processes to check mutual exclusion, deadlock, or max processes in CS</t>
  </si>
  <si>
    <t xml:space="preserve">Day 22, Day 34, Day 49</t>
  </si>
  <si>
    <t xml:space="preserve">Deadlocks &amp; Banker's Algorithm</t>
  </si>
  <si>
    <t xml:space="preserve">Finding minimum resources to guarantee deadlock-free execution (`R &gt;= P*(N-1) + 1`) and safe sequences in Banker's</t>
  </si>
  <si>
    <t xml:space="preserve">Day 23, Day 34, Day 56</t>
  </si>
  <si>
    <t xml:space="preserve">Virtual Memory, Multi-Level Paging &amp; TLB</t>
  </si>
  <si>
    <t xml:space="preserve">Calculating page table size, multi-level page walk memory accesses, TLB + Page Fault Effective Memory Access Time</t>
  </si>
  <si>
    <t xml:space="preserve">Day 26, Day 34, Day 63</t>
  </si>
  <si>
    <t xml:space="preserve">Page Replacement (LRU/FIFO/Opt) &amp; Disk Inodes</t>
  </si>
  <si>
    <t xml:space="preserve">Counting page faults for a reference string under LRU/FIFO/Optimal; Unix Inode max file size with single/double/triple indirect blocks</t>
  </si>
  <si>
    <t xml:space="preserve">Day 27, Day 42, Day 56</t>
  </si>
  <si>
    <t xml:space="preserve">Databases (DBMS)</t>
  </si>
  <si>
    <t xml:space="preserve">ER Mapping, Relational Algebra &amp; TRC</t>
  </si>
  <si>
    <t xml:space="preserve">Minimum tables to represent an ER diagram; translating Relational Algebra division `R ÷ S` and TRC quantifiers</t>
  </si>
  <si>
    <t xml:space="preserve">Day 28, Day 37, Day 45</t>
  </si>
  <si>
    <t xml:space="preserve">SQL Queries (Correlated, Joins, Group By)</t>
  </si>
  <si>
    <t xml:space="preserve">Predicting exact number of rows returned by nested SQL queries with `NOT EXISTS`, `GROUP BY`, `HAVING`, and `NULL` values</t>
  </si>
  <si>
    <t xml:space="preserve">Day 28, Day 33, Day 50</t>
  </si>
  <si>
    <t xml:space="preserve">Functional Dependencies &amp; Normalization (1NF–BCNF)</t>
  </si>
  <si>
    <t xml:space="preserve">Finding all candidate keys from FD set, identifying highest normal form (3NF vs BCNF), and checking lossless join</t>
  </si>
  <si>
    <t xml:space="preserve">Day 29, Day 37, Day 52</t>
  </si>
  <si>
    <t xml:space="preserve">Transactions, Serializability &amp; 2PL</t>
  </si>
  <si>
    <t xml:space="preserve">Constructing precedence graph to test conflict serializability; checking view serializability, recoverability &amp; 2PL</t>
  </si>
  <si>
    <t xml:space="preserve">Day 30, Day 45, Day 59</t>
  </si>
  <si>
    <t xml:space="preserve">B-Trees &amp; B+ Trees Indexing</t>
  </si>
  <si>
    <t xml:space="preserve">Calculating order `p` of internal and leaf nodes given block size, key size, record pointer &amp; block pointer sizes</t>
  </si>
  <si>
    <t xml:space="preserve">Day 30, Day 33, Day 66</t>
  </si>
  <si>
    <t xml:space="preserve">COA</t>
  </si>
  <si>
    <t xml:space="preserve">Addressing Modes &amp; Machine Instructions</t>
  </si>
  <si>
    <t xml:space="preserve">Expanding instruction opcodes (2-address vs 1-address vs 0-address) and computing effective address in indexed/PC-relative modes</t>
  </si>
  <si>
    <t xml:space="preserve">Day 16, Day 37, Day 45</t>
  </si>
  <si>
    <t xml:space="preserve">5-Stage Instruction Pipelining &amp; Hazards</t>
  </si>
  <si>
    <t xml:space="preserve">Counting stall cycles due to RAW data hazards (with and without operand forwarding) and branch penalty; computing CPI &amp; speedup</t>
  </si>
  <si>
    <t xml:space="preserve">Day 17, Day 34, Day 52</t>
  </si>
  <si>
    <t xml:space="preserve">Cache Mapping (Direct/Set-Assoc) &amp; EMAT</t>
  </si>
  <si>
    <t xml:space="preserve">Calculating Tag, Set Index, and Byte Offset bits, Tag Directory size, and L1/L2 Write-Through vs Write-Back EMAT</t>
  </si>
  <si>
    <t xml:space="preserve">Day 19, Day 26, Day 34</t>
  </si>
  <si>
    <t xml:space="preserve">I/O Interfacing (DMA/Interrupts) &amp; IEEE 754</t>
  </si>
  <si>
    <t xml:space="preserve">DMA cycle-stealing CPU slowdown percentage; converting 32-bit IEEE 754 hex pattern to decimal value</t>
  </si>
  <si>
    <t xml:space="preserve">Day 13, Day 20, Day 59</t>
  </si>
  <si>
    <t xml:space="preserve">Digital Logic</t>
  </si>
  <si>
    <t xml:space="preserve">Boolean Algebra, K-Maps &amp; Implicants</t>
  </si>
  <si>
    <t xml:space="preserve">Counting Prime Implicants (PI) and Essential Prime Implicants (EPI) in 4-variable K-Map with Don't Cares</t>
  </si>
  <si>
    <t xml:space="preserve">Day 14, Day 31, Day 38</t>
  </si>
  <si>
    <t xml:space="preserve">Combinational Circuits (MUX, Decoders, Adders)</t>
  </si>
  <si>
    <t xml:space="preserve">Finding Boolean expression implemented by cascaded `4:1` or `2:1` Multiplexers and active-low Decoders</t>
  </si>
  <si>
    <t xml:space="preserve">Day 14, Day 45, Day 52</t>
  </si>
  <si>
    <t xml:space="preserve">Sequential Circuits (Counters &amp; Timing)</t>
  </si>
  <si>
    <t xml:space="preserve">Finding modulus `Mod-N` of feedback counter, output frequency division, and max clock frequency from flip-flop setup/propagation delay</t>
  </si>
  <si>
    <t xml:space="preserve">Day 15, Day 31, Day 66</t>
  </si>
  <si>
    <t xml:space="preserve">Discrete &amp; Engg Math</t>
  </si>
  <si>
    <t xml:space="preserve">Propositional &amp; First-Order Predicate Logic</t>
  </si>
  <si>
    <t xml:space="preserve">Translating English sentences into nested quantifiers `∀x∃y`, finding logical equivalence &amp; valid inference rules</t>
  </si>
  <si>
    <t xml:space="preserve">Day 8, Day 9, Day 35</t>
  </si>
  <si>
    <t xml:space="preserve">Sets, Relations, Posets, Lattices &amp; Groups</t>
  </si>
  <si>
    <t xml:space="preserve">Counting equivalence/partial-order relations, Hasse diagram LUB/GLB, and subgroup orders via Lagrange's Theorem</t>
  </si>
  <si>
    <t xml:space="preserve">Day 10, Day 21, Day 43</t>
  </si>
  <si>
    <t xml:space="preserve">Combinatorics, Recurrences &amp; Generating Functions</t>
  </si>
  <si>
    <t xml:space="preserve">Coefficient extraction in generating functions, Inclusion-Exclusion, Derangements &amp; Pigeonhole minimum guarantees</t>
  </si>
  <si>
    <t xml:space="preserve">Day 12, Day 27, Day 50</t>
  </si>
  <si>
    <t xml:space="preserve">Graph Theory (Connectivity, Coloring, Planarity)</t>
  </si>
  <si>
    <t xml:space="preserve">Euler's planar formula `v - e + f = 2`, Chromatic number, Havel-Hakimi degree sequence, and vertex/edge connectivity</t>
  </si>
  <si>
    <t xml:space="preserve">Day 13, Day 27, Day 36</t>
  </si>
  <si>
    <t xml:space="preserve">Linear Algebra (Rank, Eigenvalues, Systems)</t>
  </si>
  <si>
    <t xml:space="preserve">Using Trace = sum of eigenvalues and Det = product of eigenvalues; rank-nullity &amp; system consistency conditions (`rank(A) = rank(A|b)`)</t>
  </si>
  <si>
    <t xml:space="preserve">Day 1, Day 2, Day 22, Day 29</t>
  </si>
  <si>
    <t xml:space="preserve">Probability &amp; Distributions (Bayes, Poisson, Normal)</t>
  </si>
  <si>
    <t xml:space="preserve">Bayes' theorem posterior probability, Expectation of indicator random variables, Poisson/Exponential probability numericals</t>
  </si>
  <si>
    <t xml:space="preserve">Day 17, Day 19, Day 26, Day 29</t>
  </si>
  <si>
    <t xml:space="preserve">Calculus (Limits, Maxima/Minima, Integrals)</t>
  </si>
  <si>
    <t xml:space="preserve">L'Hospital limits, local maxima/minima via 2nd derivative &amp; Hessian, and definite integral properties</t>
  </si>
  <si>
    <t xml:space="preserve">Day 14, Day 15, Day 29</t>
  </si>
  <si>
    <t xml:space="preserve">General Aptitude</t>
  </si>
  <si>
    <t xml:space="preserve">Quantitative &amp; Analytical Reasoning</t>
  </si>
  <si>
    <t xml:space="preserve">Ratios, Time/Work, Permutations/Probability, Geometry/Mensuration, Syllogisms, Data Interpretation charts</t>
  </si>
  <si>
    <t xml:space="preserve">Daily Block 3 + Day 30</t>
  </si>
  <si>
    <t xml:space="preserve">Verbal &amp; Spatial Aptitude (Folding/Rotations)</t>
  </si>
  <si>
    <t xml:space="preserve">MCQ</t>
  </si>
  <si>
    <t xml:space="preserve">Paper folding/cutting symmetry, 2D/3D shape rotations, Sentence completion, Critical reasoning inference</t>
  </si>
  <si>
    <t xml:space="preserve">Daily Block 3 + Day 23</t>
  </si>
  <si>
    <t xml:space="preserve">TOTAL HIGH-YIELD COVERAGE</t>
  </si>
  <si>
    <t xml:space="preserve">52 High-Yield Sub-Topic Clusters</t>
  </si>
  <si>
    <t xml:space="preserve">100% Syllabus Mapped</t>
  </si>
  <si>
    <t xml:space="preserve">All Tier-1 &amp; Tier-2 Topics Covered Across 4 Revision Passes</t>
  </si>
  <si>
    <t xml:space="preserve">Days 1–116</t>
  </si>
  <si>
    <t xml:space="preserve">GATE 2027 CSE — 16 Weekly Full-Length Mock Test Score Log &amp; Zero-Work Telugu Holiday Calendar</t>
  </si>
  <si>
    <t xml:space="preserve">Enter your Mock Scores, Accuracy %, Negative Marks Lost, and Weakest Subjects in the cream input columns (F–I). Totals &amp; Averages calculate automatically.</t>
  </si>
  <si>
    <t xml:space="preserve">Table 1: 16 Weekly Full-Length Mock Test Tracker (2:00 PM – 5:00 PM IST Exam Slot)</t>
  </si>
  <si>
    <t xml:space="preserve">Mock #</t>
  </si>
  <si>
    <t xml:space="preserve">Mock Test Title &amp; Syllabus Scope</t>
  </si>
  <si>
    <t xml:space="preserve">Target Score (/100)</t>
  </si>
  <si>
    <t xml:space="preserve">Actual Score (/100) [Input]</t>
  </si>
  <si>
    <t xml:space="preserve">Accuracy (%) [Input]</t>
  </si>
  <si>
    <t xml:space="preserve">Neg. Marks Lost [Input]</t>
  </si>
  <si>
    <t xml:space="preserve">Lowest-Scoring 2 Subjects &amp; Post-Mortem Action [Input]</t>
  </si>
  <si>
    <t xml:space="preserve">Mock 1</t>
  </si>
  <si>
    <t xml:space="preserve">Weekly Mock Test 1 (Shifted from Sun due to Bathukamma) — Full 65-Question / 100-Mark CBT Simulation (2:00–5:00 PM IST): Baseline check on completed subjects + 25% TOC/CN</t>
  </si>
  <si>
    <t xml:space="preserve">Mock 2</t>
  </si>
  <si>
    <t xml:space="preserve">Weekly Mock Test 2 (NPTEL / GO Classes Slot) — Full 65-Question / 100-Mark CBT Simulation (2:00–5:00 PM IST): Includes Regular Languages, CFG, PDA &amp; Turing Machines</t>
  </si>
  <si>
    <t xml:space="preserve">Mock 3</t>
  </si>
  <si>
    <t xml:space="preserve">Weekly Mock Test 3 — Full 65-Question / 100-Mark CBT Simulation (2:00–5:00 PM IST): Includes 100% TOC + 75% Compiler Design (LL/LR Parsing)</t>
  </si>
  <si>
    <t xml:space="preserve">Mock 4</t>
  </si>
  <si>
    <t xml:space="preserve">Weekly Mock Test 4 (Shifted from Sun due to Diwali) — Full 65-Question / 100-Mark CBT Simulation (2:00–5:00 PM IST): Includes 100% TOC, 100% CD + CN Flow Control/MAC/IPv4</t>
  </si>
  <si>
    <t xml:space="preserve">Mock 5</t>
  </si>
  <si>
    <t xml:space="preserve">Weekly Mock Test 5 — FIRST 100% FULL-SYLLABUS MOCK — Full 65-Question / 100-Mark CBT Simulation (2:00–5:00 PM IST): All 11 GATE CSE subjects active at 100% weightage</t>
  </si>
  <si>
    <t xml:space="preserve">Mock 6</t>
  </si>
  <si>
    <t xml:space="preserve">Weekly Mock Test 6 (All-India Test Series) — Full 65-Question / 100-Mark CBT Simulation (2:00–5:00 PM IST): Practice 3-Round Paper Attempt Strategy (Easy -&gt; Med -&gt; Hard)</t>
  </si>
  <si>
    <t xml:space="preserve">Mock 7</t>
  </si>
  <si>
    <t xml:space="preserve">Weekly Mock Test 7 (All-India Test Series) — Full 65-Question / 100-Mark CBT Simulation (2:00–5:00 PM IST): Focus on zeroing negative marking losses (&lt;2.5 marks lost)</t>
  </si>
  <si>
    <t xml:space="preserve">Mock 8</t>
  </si>
  <si>
    <t xml:space="preserve">Weekly Mock Test 8 (All-India Test Series) — Full 65-Question / 100-Mark CBT Simulation (2:00–5:00 PM IST): Target 70+ Raw Marks milestone</t>
  </si>
  <si>
    <t xml:space="preserve">Mock 9</t>
  </si>
  <si>
    <t xml:space="preserve">Weekly Mock Test 9 (All-India Test Series) — Full 65-Question / 100-Mark CBT Simulation (2:00–5:00 PM IST): Alternate between GO Classes (Hard) &amp; ACE/Made Easy</t>
  </si>
  <si>
    <t xml:space="preserve">Mock 10</t>
  </si>
  <si>
    <t xml:space="preserve">Weekly Mock Test 10 (All-India Test Series) — Full 65-Question / 100-Mark CBT Simulation (2:00–5:00 PM IST): Target 75+ Raw Marks milestone</t>
  </si>
  <si>
    <t xml:space="preserve">Mock 11</t>
  </si>
  <si>
    <t xml:space="preserve">Weekly Mock Test 11 (All-India Test Series) — Full 65-Question / 100-Mark CBT Simulation (2:00–5:00 PM IST): Year-end full benchmark simulation</t>
  </si>
  <si>
    <t xml:space="preserve">Mock 12</t>
  </si>
  <si>
    <t xml:space="preserve">Weekly Mock Test 12 (New Year All-India Mock) — Full 65-Question / 100-Mark CBT Simulation (2:00–5:00 PM IST): Target 80+ Raw Marks milestone</t>
  </si>
  <si>
    <t xml:space="preserve">Mock 13</t>
  </si>
  <si>
    <t xml:space="preserve">Weekly Mock Test 13 (Pre-Sankranti All-India Mock) — Full 65-Question / 100-Mark CBT Simulation (2:00–5:00 PM IST): High-difficulty stress-test simulation</t>
  </si>
  <si>
    <t xml:space="preserve">Mock 14</t>
  </si>
  <si>
    <t xml:space="preserve">Weekly Mock Test 14 (Post-Sankranti All-India Mock) — Full 65-Question / 100-Mark CBT Simulation (2:00–5:00 PM IST): Target 82–85+ Raw Marks milestone</t>
  </si>
  <si>
    <t xml:space="preserve">Mock 15</t>
  </si>
  <si>
    <t xml:space="preserve">Weekly Mock Test 15 (Penultimate All-India Mock) — Full 65-Question / 100-Mark CBT Simulation (2:00–5:00 PM IST): Target 85+ Raw Marks (AIR &lt; 10 Zone)</t>
  </si>
  <si>
    <t xml:space="preserve">Mock 16</t>
  </si>
  <si>
    <t xml:space="preserve">Weekly Mock Test 16 (Final Pre-GATE Dress Rehearsal) — Full 65-Question / 100-Mark CBT Simulation (2:00–5:00 PM IST): Exact exam-day biological clock &amp; mindset rehearsal</t>
  </si>
  <si>
    <t xml:space="preserve">AVERAGE / GOAL</t>
  </si>
  <si>
    <t xml:space="preserve">16 Mocks</t>
  </si>
  <si>
    <t xml:space="preserve">Sat / Sun</t>
  </si>
  <si>
    <t xml:space="preserve">Progressive Climb from 55.0 Baseline to 85.0+ AIR &lt; 10 Benchmark</t>
  </si>
  <si>
    <t xml:space="preserve">Target Negative Marks Lost per Mock: &lt; 2.50 Marks</t>
  </si>
  <si>
    <t xml:space="preserve">Table 2: 12 Zero-Work Telugu Festival &amp; Public Holidays (Oct 2026 – Feb 2027)</t>
  </si>
  <si>
    <t xml:space="preserve">Holiday #</t>
  </si>
  <si>
    <t xml:space="preserve">Festival / Public Holiday Name</t>
  </si>
  <si>
    <t xml:space="preserve">Target Hrs</t>
  </si>
  <si>
    <t xml:space="preserve">Calendar &amp; Schedule Adjustment Rule</t>
  </si>
  <si>
    <t xml:space="preserve">Holiday 1</t>
  </si>
  <si>
    <t xml:space="preserve">Saddula Bathukamma / Maha Saptami</t>
  </si>
  <si>
    <t xml:space="preserve">Holiday 2</t>
  </si>
  <si>
    <t xml:space="preserve">Maharnavami / Maha Ashtami (Dussehra Block)</t>
  </si>
  <si>
    <t xml:space="preserve">Holiday 3</t>
  </si>
  <si>
    <t xml:space="preserve">Dussehra / Vijaya Dasami</t>
  </si>
  <si>
    <t xml:space="preserve">Holiday 4</t>
  </si>
  <si>
    <t xml:space="preserve">Following Day of Vijaya Dasami</t>
  </si>
  <si>
    <t xml:space="preserve">Holiday 5</t>
  </si>
  <si>
    <t xml:space="preserve">Diwali / Deepavali &amp; Naraka Chaturdasi</t>
  </si>
  <si>
    <t xml:space="preserve">Holiday 6</t>
  </si>
  <si>
    <t xml:space="preserve">Karthika Purnima / Guru Nanak Jayanti</t>
  </si>
  <si>
    <t xml:space="preserve">Holiday 7</t>
  </si>
  <si>
    <t xml:space="preserve">Christmas Day</t>
  </si>
  <si>
    <t xml:space="preserve">Holiday 8</t>
  </si>
  <si>
    <t xml:space="preserve">New Year's Day</t>
  </si>
  <si>
    <t xml:space="preserve">Holiday 9</t>
  </si>
  <si>
    <t xml:space="preserve">Bhogi Festival (Sankranti Block Day 1)</t>
  </si>
  <si>
    <t xml:space="preserve">Holiday 10</t>
  </si>
  <si>
    <t xml:space="preserve">Makar Sankranti / Pedda Panduga (Day 2)</t>
  </si>
  <si>
    <t xml:space="preserve">Holiday 11</t>
  </si>
  <si>
    <t xml:space="preserve">Kanuma Festival (Sankranti Block Day 3)</t>
  </si>
  <si>
    <t xml:space="preserve">Holiday 12</t>
  </si>
  <si>
    <t xml:space="preserve">Republic Day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</si>
</sst>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"/>
    <numFmt numFmtId="168" formatCode="0.0%"/>
    <numFmt numFmtId="169" formatCode="yyyy\-mm\-dd"/>
    <numFmt numFmtId="170" formatCode="0.00"/>
    <numFmt numFmtId="171" formatCode="#,##0.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E2E8F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4"/>
      <color rgb="FF1B365D"/>
      <name val="Calibri"/>
      <family val="0"/>
      <charset val="1"/>
    </font>
    <font>
      <i val="true"/>
      <sz val="8"/>
      <color rgb="FF475569"/>
      <name val="Calibri"/>
      <family val="0"/>
      <charset val="1"/>
    </font>
    <font>
      <b val="true"/>
      <sz val="12"/>
      <color rgb="FF1B365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2C5282"/>
        <bgColor rgb="FF475569"/>
      </patternFill>
    </fill>
    <fill>
      <patternFill patternType="solid">
        <fgColor rgb="FFF8FAFC"/>
        <bgColor rgb="FFF9F9F9"/>
      </patternFill>
    </fill>
    <fill>
      <patternFill patternType="solid">
        <fgColor rgb="FFFEF3C7"/>
        <bgColor rgb="FFFFEDD5"/>
      </patternFill>
    </fill>
    <fill>
      <patternFill patternType="solid">
        <fgColor rgb="FFE2E8F0"/>
        <bgColor rgb="FFEDE9FE"/>
      </patternFill>
    </fill>
    <fill>
      <patternFill patternType="solid">
        <fgColor rgb="FFE0F2FE"/>
        <bgColor rgb="FFE2E8F0"/>
      </patternFill>
    </fill>
    <fill>
      <patternFill patternType="solid">
        <fgColor rgb="FFFFFBEB"/>
        <bgColor rgb="FFF9F9F9"/>
      </patternFill>
    </fill>
    <fill>
      <patternFill patternType="solid">
        <fgColor rgb="FFEDE9FE"/>
        <bgColor rgb="FFE2E8F0"/>
      </patternFill>
    </fill>
    <fill>
      <patternFill patternType="solid">
        <fgColor rgb="FFDCFCE7"/>
        <bgColor rgb="FFE0F2FE"/>
      </patternFill>
    </fill>
    <fill>
      <patternFill patternType="solid">
        <fgColor rgb="FFFCE7F3"/>
        <bgColor rgb="FFEDE9FE"/>
      </patternFill>
    </fill>
    <fill>
      <patternFill patternType="solid">
        <fgColor rgb="FFFFEDD5"/>
        <bgColor rgb="FFFEF3C7"/>
      </patternFill>
    </fill>
    <fill>
      <patternFill patternType="solid">
        <fgColor rgb="FFFFFFFF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3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3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11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1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13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1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3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E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E2E8F0"/>
      <rgbColor rgb="FFFFEDD5"/>
      <rgbColor rgb="FFEDE9FE"/>
      <rgbColor rgb="FFF9F9F9"/>
      <rgbColor rgb="FFF8FAFC"/>
      <rgbColor rgb="FFFCE7F3"/>
      <rgbColor rgb="FF4F81BD"/>
      <rgbColor rgb="FF33CCCC"/>
      <rgbColor rgb="FF99CC00"/>
      <rgbColor rgb="FFFFCC00"/>
      <rgbColor rgb="FFFF9900"/>
      <rgbColor rgb="FFFF6600"/>
      <rgbColor rgb="FF475569"/>
      <rgbColor rgb="FF969696"/>
      <rgbColor rgb="FF1B365D"/>
      <rgbColor rgb="FF339966"/>
      <rgbColor rgb="FF0F172A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GATE CSE Subject-Wise Marks: 3-Year Average vs AIR &lt; 10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Dashboard'!F9</c:f>
              <c:strCache>
                <c:ptCount val="1"/>
                <c:pt idx="0">
                  <c:v>3-Yr Avg Marks [Auto]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Dashboard'!$A$10:$A$20</c:f>
              <c:strCache>
                <c:ptCount val="11"/>
                <c:pt idx="0">
                  <c:v>General Aptitude (GA)</c:v>
                </c:pt>
                <c:pt idx="1">
                  <c:v>Engineering &amp; Discrete Mathematics</c:v>
                </c:pt>
                <c:pt idx="2">
                  <c:v>Programming &amp; Data Structures (P&amp;DS)</c:v>
                </c:pt>
                <c:pt idx="3">
                  <c:v>Computer Organization &amp; Arch. (COA)</c:v>
                </c:pt>
                <c:pt idx="4">
                  <c:v>Operating Systems (OS)</c:v>
                </c:pt>
                <c:pt idx="5">
                  <c:v>Computer Networks (CN) [Pending 75%]</c:v>
                </c:pt>
                <c:pt idx="6">
                  <c:v>Theory of Computation (TOC) [Pending 75%]</c:v>
                </c:pt>
                <c:pt idx="7">
                  <c:v>Algorithms</c:v>
                </c:pt>
                <c:pt idx="8">
                  <c:v>Database Management Systems (DBMS)</c:v>
                </c:pt>
                <c:pt idx="9">
                  <c:v>Compiler Design (CD) [Pending 100%]</c:v>
                </c:pt>
                <c:pt idx="10">
                  <c:v>Digital Logic (DL)</c:v>
                </c:pt>
              </c:strCache>
            </c:strRef>
          </c:cat>
          <c:val>
            <c:numRef>
              <c:f>'Executive Dashboard'!$F$10:$F$20</c:f>
              <c:numCache>
                <c:formatCode>General</c:formatCode>
                <c:ptCount val="11"/>
                <c:pt idx="0">
                  <c:v>15</c:v>
                </c:pt>
                <c:pt idx="1">
                  <c:v>11.6666666666667</c:v>
                </c:pt>
                <c:pt idx="2">
                  <c:v>9.66666666666667</c:v>
                </c:pt>
                <c:pt idx="3">
                  <c:v>9.66666666666667</c:v>
                </c:pt>
                <c:pt idx="4">
                  <c:v>8.33333333333333</c:v>
                </c:pt>
                <c:pt idx="5">
                  <c:v>8.33333333333333</c:v>
                </c:pt>
                <c:pt idx="6">
                  <c:v>8.33333333333333</c:v>
                </c:pt>
                <c:pt idx="7">
                  <c:v>7.33333333333333</c:v>
                </c:pt>
                <c:pt idx="8">
                  <c:v>7</c:v>
                </c:pt>
                <c:pt idx="9">
                  <c:v>6</c:v>
                </c:pt>
                <c:pt idx="10">
                  <c:v>5.66666666666667</c:v>
                </c:pt>
              </c:numCache>
            </c:numRef>
          </c:val>
        </c:ser>
        <c:ser>
          <c:idx val="1"/>
          <c:order val="1"/>
          <c:tx>
            <c:strRef>
              <c:f>'Executive Dashboard'!G9</c:f>
              <c:strCache>
                <c:ptCount val="1"/>
                <c:pt idx="0">
                  <c:v>AIR &lt;10 Target Marks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Dashboard'!$A$10:$A$20</c:f>
              <c:strCache>
                <c:ptCount val="11"/>
                <c:pt idx="0">
                  <c:v>General Aptitude (GA)</c:v>
                </c:pt>
                <c:pt idx="1">
                  <c:v>Engineering &amp; Discrete Mathematics</c:v>
                </c:pt>
                <c:pt idx="2">
                  <c:v>Programming &amp; Data Structures (P&amp;DS)</c:v>
                </c:pt>
                <c:pt idx="3">
                  <c:v>Computer Organization &amp; Arch. (COA)</c:v>
                </c:pt>
                <c:pt idx="4">
                  <c:v>Operating Systems (OS)</c:v>
                </c:pt>
                <c:pt idx="5">
                  <c:v>Computer Networks (CN) [Pending 75%]</c:v>
                </c:pt>
                <c:pt idx="6">
                  <c:v>Theory of Computation (TOC) [Pending 75%]</c:v>
                </c:pt>
                <c:pt idx="7">
                  <c:v>Algorithms</c:v>
                </c:pt>
                <c:pt idx="8">
                  <c:v>Database Management Systems (DBMS)</c:v>
                </c:pt>
                <c:pt idx="9">
                  <c:v>Compiler Design (CD) [Pending 100%]</c:v>
                </c:pt>
                <c:pt idx="10">
                  <c:v>Digital Logic (DL)</c:v>
                </c:pt>
              </c:strCache>
            </c:strRef>
          </c:cat>
          <c:val>
            <c:numRef>
              <c:f>'Executive Dashboard'!$G$10:$G$20</c:f>
              <c:numCache>
                <c:formatCode>General</c:formatCode>
                <c:ptCount val="11"/>
                <c:pt idx="0">
                  <c:v>14.5</c:v>
                </c:pt>
                <c:pt idx="1">
                  <c:v>11</c:v>
                </c:pt>
                <c:pt idx="2">
                  <c:v>9</c:v>
                </c:pt>
                <c:pt idx="3">
                  <c:v>8.5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</c:v>
                </c:pt>
                <c:pt idx="8">
                  <c:v>6.5</c:v>
                </c:pt>
                <c:pt idx="9">
                  <c:v>5.5</c:v>
                </c:pt>
                <c:pt idx="10">
                  <c:v>5.5</c:v>
                </c:pt>
              </c:numCache>
            </c:numRef>
          </c:val>
        </c:ser>
        <c:gapWidth val="150"/>
        <c:overlap val="0"/>
        <c:axId val="53808093"/>
        <c:axId val="51685975"/>
      </c:barChart>
      <c:catAx>
        <c:axId val="538080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85975"/>
        <c:crosses val="autoZero"/>
        <c:auto val="1"/>
        <c:lblAlgn val="ctr"/>
        <c:lblOffset val="100"/>
        <c:noMultiLvlLbl val="0"/>
      </c:catAx>
      <c:valAx>
        <c:axId val="51685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08093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0</xdr:rowOff>
    </xdr:from>
    <xdr:to>
      <xdr:col>3</xdr:col>
      <xdr:colOff>1731960</xdr:colOff>
      <xdr:row>51</xdr:row>
      <xdr:rowOff>149400</xdr:rowOff>
    </xdr:to>
    <xdr:graphicFrame>
      <xdr:nvGraphicFramePr>
        <xdr:cNvPr id="0" name="Chart 1"/>
        <xdr:cNvGraphicFramePr/>
      </xdr:nvGraphicFramePr>
      <xdr:xfrm>
        <a:off x="0" y="94392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7"/>
    <col collapsed="false" customWidth="true" hidden="false" outlineLevel="0" max="3" min="3" style="0" width="37"/>
    <col collapsed="false" customWidth="true" hidden="false" outlineLevel="0" max="4" min="4" style="0" width="35"/>
    <col collapsed="false" customWidth="true" hidden="false" outlineLevel="0" max="5" min="5" style="0" width="26"/>
    <col collapsed="false" customWidth="true" hidden="false" outlineLevel="0" max="6" min="6" style="0" width="45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5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4" hidden="false" customHeight="true" outlineLevel="0" collapsed="false">
      <c r="A5" s="4" t="s">
        <v>6</v>
      </c>
      <c r="B5" s="4"/>
      <c r="C5" s="4" t="s">
        <v>7</v>
      </c>
      <c r="D5" s="4"/>
      <c r="E5" s="5" t="n">
        <f aca="false">'116-Day Detailed Plan'!L122</f>
        <v>8793</v>
      </c>
      <c r="F5" s="5"/>
      <c r="G5" s="4" t="s">
        <v>8</v>
      </c>
      <c r="H5" s="4"/>
    </row>
    <row r="6" customFormat="false" ht="18" hidden="false" customHeight="true" outlineLevel="0" collapsed="false">
      <c r="A6" s="6" t="s">
        <v>9</v>
      </c>
      <c r="B6" s="6"/>
      <c r="C6" s="6" t="s">
        <v>10</v>
      </c>
      <c r="D6" s="6"/>
      <c r="E6" s="6" t="s">
        <v>11</v>
      </c>
      <c r="F6" s="6"/>
      <c r="G6" s="6" t="s">
        <v>12</v>
      </c>
      <c r="H6" s="6"/>
    </row>
    <row r="8" customFormat="false" ht="21.75" hidden="false" customHeight="true" outlineLevel="0" collapsed="false">
      <c r="A8" s="7" t="s">
        <v>13</v>
      </c>
    </row>
    <row r="9" customFormat="false" ht="25.5" hidden="false" customHeight="true" outlineLevel="0" collapsed="false">
      <c r="A9" s="8" t="s">
        <v>14</v>
      </c>
      <c r="B9" s="8" t="s">
        <v>15</v>
      </c>
      <c r="C9" s="8" t="s">
        <v>16</v>
      </c>
      <c r="D9" s="8" t="s">
        <v>17</v>
      </c>
      <c r="E9" s="8" t="s">
        <v>18</v>
      </c>
      <c r="F9" s="8" t="s">
        <v>19</v>
      </c>
      <c r="G9" s="8" t="s">
        <v>20</v>
      </c>
      <c r="H9" s="8" t="s">
        <v>21</v>
      </c>
      <c r="I9" s="8" t="s">
        <v>22</v>
      </c>
    </row>
    <row r="10" customFormat="false" ht="31.5" hidden="false" customHeight="true" outlineLevel="0" collapsed="false">
      <c r="A10" s="9" t="s">
        <v>23</v>
      </c>
      <c r="B10" s="10" t="n">
        <v>1</v>
      </c>
      <c r="C10" s="11" t="n">
        <v>15</v>
      </c>
      <c r="D10" s="11" t="n">
        <v>15</v>
      </c>
      <c r="E10" s="11" t="n">
        <v>15</v>
      </c>
      <c r="F10" s="12" t="n">
        <f aca="false">AVERAGE(C10:E10)</f>
        <v>15</v>
      </c>
      <c r="G10" s="12" t="n">
        <v>14.5</v>
      </c>
      <c r="H10" s="13" t="s">
        <v>24</v>
      </c>
      <c r="I10" s="14" t="s">
        <v>25</v>
      </c>
    </row>
    <row r="11" customFormat="false" ht="31.5" hidden="false" customHeight="true" outlineLevel="0" collapsed="false">
      <c r="A11" s="15" t="s">
        <v>26</v>
      </c>
      <c r="B11" s="16" t="n">
        <v>1</v>
      </c>
      <c r="C11" s="17" t="n">
        <v>10</v>
      </c>
      <c r="D11" s="17" t="n">
        <v>13</v>
      </c>
      <c r="E11" s="17" t="n">
        <v>12</v>
      </c>
      <c r="F11" s="18" t="n">
        <f aca="false">AVERAGE(C11:E11)</f>
        <v>11.6666666666667</v>
      </c>
      <c r="G11" s="18" t="n">
        <v>11</v>
      </c>
      <c r="H11" s="19" t="s">
        <v>27</v>
      </c>
      <c r="I11" s="20" t="s">
        <v>28</v>
      </c>
    </row>
    <row r="12" customFormat="false" ht="31.5" hidden="false" customHeight="true" outlineLevel="0" collapsed="false">
      <c r="A12" s="9" t="s">
        <v>29</v>
      </c>
      <c r="B12" s="10" t="n">
        <v>1</v>
      </c>
      <c r="C12" s="11" t="n">
        <v>11</v>
      </c>
      <c r="D12" s="11" t="n">
        <v>8</v>
      </c>
      <c r="E12" s="11" t="n">
        <v>10</v>
      </c>
      <c r="F12" s="12" t="n">
        <f aca="false">AVERAGE(C12:E12)</f>
        <v>9.66666666666667</v>
      </c>
      <c r="G12" s="12" t="n">
        <v>9</v>
      </c>
      <c r="H12" s="13" t="s">
        <v>30</v>
      </c>
      <c r="I12" s="14" t="s">
        <v>31</v>
      </c>
    </row>
    <row r="13" customFormat="false" ht="31.5" hidden="false" customHeight="true" outlineLevel="0" collapsed="false">
      <c r="A13" s="15" t="s">
        <v>32</v>
      </c>
      <c r="B13" s="16" t="n">
        <v>1</v>
      </c>
      <c r="C13" s="17" t="n">
        <v>12</v>
      </c>
      <c r="D13" s="17" t="n">
        <v>9</v>
      </c>
      <c r="E13" s="17" t="n">
        <v>8</v>
      </c>
      <c r="F13" s="18" t="n">
        <f aca="false">AVERAGE(C13:E13)</f>
        <v>9.66666666666667</v>
      </c>
      <c r="G13" s="18" t="n">
        <v>8.5</v>
      </c>
      <c r="H13" s="19" t="s">
        <v>33</v>
      </c>
      <c r="I13" s="20" t="s">
        <v>34</v>
      </c>
    </row>
    <row r="14" customFormat="false" ht="31.5" hidden="false" customHeight="true" outlineLevel="0" collapsed="false">
      <c r="A14" s="9" t="s">
        <v>35</v>
      </c>
      <c r="B14" s="10" t="n">
        <v>1</v>
      </c>
      <c r="C14" s="11" t="n">
        <v>7</v>
      </c>
      <c r="D14" s="11" t="n">
        <v>10</v>
      </c>
      <c r="E14" s="11" t="n">
        <v>8</v>
      </c>
      <c r="F14" s="12" t="n">
        <f aca="false">AVERAGE(C14:E14)</f>
        <v>8.33333333333333</v>
      </c>
      <c r="G14" s="12" t="n">
        <v>7.5</v>
      </c>
      <c r="H14" s="13" t="s">
        <v>36</v>
      </c>
      <c r="I14" s="14" t="s">
        <v>37</v>
      </c>
    </row>
    <row r="15" customFormat="false" ht="31.5" hidden="false" customHeight="true" outlineLevel="0" collapsed="false">
      <c r="A15" s="21" t="s">
        <v>38</v>
      </c>
      <c r="B15" s="22" t="n">
        <v>0.25</v>
      </c>
      <c r="C15" s="23" t="n">
        <v>8</v>
      </c>
      <c r="D15" s="23" t="n">
        <v>9</v>
      </c>
      <c r="E15" s="23" t="n">
        <v>8</v>
      </c>
      <c r="F15" s="24" t="n">
        <f aca="false">AVERAGE(C15:E15)</f>
        <v>8.33333333333333</v>
      </c>
      <c r="G15" s="24" t="n">
        <v>7.5</v>
      </c>
      <c r="H15" s="25" t="s">
        <v>33</v>
      </c>
      <c r="I15" s="26" t="s">
        <v>39</v>
      </c>
    </row>
    <row r="16" customFormat="false" ht="31.5" hidden="false" customHeight="true" outlineLevel="0" collapsed="false">
      <c r="A16" s="21" t="s">
        <v>40</v>
      </c>
      <c r="B16" s="22" t="n">
        <v>0.25</v>
      </c>
      <c r="C16" s="23" t="n">
        <v>9</v>
      </c>
      <c r="D16" s="23" t="n">
        <v>7</v>
      </c>
      <c r="E16" s="23" t="n">
        <v>9</v>
      </c>
      <c r="F16" s="24" t="n">
        <f aca="false">AVERAGE(C16:E16)</f>
        <v>8.33333333333333</v>
      </c>
      <c r="G16" s="24" t="n">
        <v>7.5</v>
      </c>
      <c r="H16" s="25" t="s">
        <v>41</v>
      </c>
      <c r="I16" s="26" t="s">
        <v>42</v>
      </c>
    </row>
    <row r="17" customFormat="false" ht="31.5" hidden="false" customHeight="true" outlineLevel="0" collapsed="false">
      <c r="A17" s="15" t="s">
        <v>43</v>
      </c>
      <c r="B17" s="16" t="n">
        <v>1</v>
      </c>
      <c r="C17" s="17" t="n">
        <v>6</v>
      </c>
      <c r="D17" s="17" t="n">
        <v>8</v>
      </c>
      <c r="E17" s="17" t="n">
        <v>8</v>
      </c>
      <c r="F17" s="18" t="n">
        <f aca="false">AVERAGE(C17:E17)</f>
        <v>7.33333333333333</v>
      </c>
      <c r="G17" s="18" t="n">
        <v>7</v>
      </c>
      <c r="H17" s="19" t="s">
        <v>44</v>
      </c>
      <c r="I17" s="20" t="s">
        <v>45</v>
      </c>
    </row>
    <row r="18" customFormat="false" ht="31.5" hidden="false" customHeight="true" outlineLevel="0" collapsed="false">
      <c r="A18" s="9" t="s">
        <v>46</v>
      </c>
      <c r="B18" s="10" t="n">
        <v>1</v>
      </c>
      <c r="C18" s="11" t="n">
        <v>5</v>
      </c>
      <c r="D18" s="11" t="n">
        <v>8</v>
      </c>
      <c r="E18" s="11" t="n">
        <v>8</v>
      </c>
      <c r="F18" s="12" t="n">
        <f aca="false">AVERAGE(C18:E18)</f>
        <v>7</v>
      </c>
      <c r="G18" s="12" t="n">
        <v>6.5</v>
      </c>
      <c r="H18" s="13" t="s">
        <v>47</v>
      </c>
      <c r="I18" s="14" t="s">
        <v>48</v>
      </c>
    </row>
    <row r="19" customFormat="false" ht="31.5" hidden="false" customHeight="true" outlineLevel="0" collapsed="false">
      <c r="A19" s="21" t="s">
        <v>49</v>
      </c>
      <c r="B19" s="22" t="n">
        <v>0</v>
      </c>
      <c r="C19" s="23" t="n">
        <v>5</v>
      </c>
      <c r="D19" s="23" t="n">
        <v>8</v>
      </c>
      <c r="E19" s="23" t="n">
        <v>5</v>
      </c>
      <c r="F19" s="24" t="n">
        <f aca="false">AVERAGE(C19:E19)</f>
        <v>6</v>
      </c>
      <c r="G19" s="24" t="n">
        <v>5.5</v>
      </c>
      <c r="H19" s="25" t="s">
        <v>50</v>
      </c>
      <c r="I19" s="26" t="s">
        <v>51</v>
      </c>
    </row>
    <row r="20" customFormat="false" ht="31.5" hidden="false" customHeight="true" outlineLevel="0" collapsed="false">
      <c r="A20" s="9" t="s">
        <v>52</v>
      </c>
      <c r="B20" s="10" t="n">
        <v>1</v>
      </c>
      <c r="C20" s="11" t="n">
        <v>6</v>
      </c>
      <c r="D20" s="11" t="n">
        <v>5</v>
      </c>
      <c r="E20" s="11" t="n">
        <v>6</v>
      </c>
      <c r="F20" s="12" t="n">
        <f aca="false">AVERAGE(C20:E20)</f>
        <v>5.66666666666667</v>
      </c>
      <c r="G20" s="12" t="n">
        <v>5.5</v>
      </c>
      <c r="H20" s="13" t="s">
        <v>30</v>
      </c>
      <c r="I20" s="14" t="s">
        <v>53</v>
      </c>
    </row>
    <row r="21" customFormat="false" ht="24" hidden="false" customHeight="true" outlineLevel="0" collapsed="false">
      <c r="A21" s="27" t="s">
        <v>54</v>
      </c>
      <c r="B21" s="28" t="n">
        <f aca="false">AVERAGE(B10:B20)</f>
        <v>0.772727272727273</v>
      </c>
      <c r="C21" s="29" t="n">
        <f aca="false">SUM(C10:C20)</f>
        <v>94</v>
      </c>
      <c r="D21" s="29" t="n">
        <f aca="false">SUM(D10:D20)</f>
        <v>100</v>
      </c>
      <c r="E21" s="29" t="n">
        <f aca="false">SUM(E10:E20)</f>
        <v>97</v>
      </c>
      <c r="F21" s="30" t="n">
        <f aca="false">SUM(F10:F20)</f>
        <v>97</v>
      </c>
      <c r="G21" s="30" t="n">
        <f aca="false">SUM(G10:G20)</f>
        <v>90</v>
      </c>
      <c r="H21" s="31" t="s">
        <v>55</v>
      </c>
      <c r="I21" s="27" t="s">
        <v>56</v>
      </c>
    </row>
    <row r="24" customFormat="false" ht="21.75" hidden="false" customHeight="true" outlineLevel="0" collapsed="false">
      <c r="A24" s="7" t="s">
        <v>57</v>
      </c>
    </row>
    <row r="25" customFormat="false" ht="24" hidden="false" customHeight="true" outlineLevel="0" collapsed="false">
      <c r="A25" s="8" t="s">
        <v>58</v>
      </c>
      <c r="B25" s="8" t="s">
        <v>59</v>
      </c>
      <c r="C25" s="8" t="s">
        <v>60</v>
      </c>
      <c r="D25" s="8" t="s">
        <v>61</v>
      </c>
      <c r="E25" s="8" t="s">
        <v>62</v>
      </c>
      <c r="F25" s="8" t="s">
        <v>63</v>
      </c>
    </row>
    <row r="26" customFormat="false" ht="19.5" hidden="false" customHeight="true" outlineLevel="0" collapsed="false">
      <c r="A26" s="20" t="s">
        <v>64</v>
      </c>
      <c r="B26" s="17" t="n">
        <v>34</v>
      </c>
      <c r="C26" s="17" t="n">
        <v>15</v>
      </c>
      <c r="D26" s="17" t="n">
        <v>16</v>
      </c>
      <c r="E26" s="17" t="n">
        <f aca="false">SUM(B26:D26)</f>
        <v>65</v>
      </c>
      <c r="F26" s="20" t="s">
        <v>65</v>
      </c>
    </row>
    <row r="27" customFormat="false" ht="19.5" hidden="false" customHeight="true" outlineLevel="0" collapsed="false">
      <c r="A27" s="20" t="s">
        <v>66</v>
      </c>
      <c r="B27" s="17" t="n">
        <v>19</v>
      </c>
      <c r="C27" s="17" t="n">
        <v>20</v>
      </c>
      <c r="D27" s="17" t="n">
        <v>16</v>
      </c>
      <c r="E27" s="17" t="n">
        <f aca="false">SUM(B27:D27)</f>
        <v>55</v>
      </c>
      <c r="F27" s="20" t="s">
        <v>67</v>
      </c>
    </row>
    <row r="28" customFormat="false" ht="19.5" hidden="false" customHeight="true" outlineLevel="0" collapsed="false">
      <c r="A28" s="20" t="s">
        <v>68</v>
      </c>
      <c r="B28" s="17" t="n">
        <v>33</v>
      </c>
      <c r="C28" s="17" t="n">
        <v>18</v>
      </c>
      <c r="D28" s="17" t="n">
        <v>14</v>
      </c>
      <c r="E28" s="17" t="n">
        <f aca="false">SUM(B28:D28)</f>
        <v>65</v>
      </c>
      <c r="F28" s="20" t="s">
        <v>69</v>
      </c>
    </row>
    <row r="29" customFormat="false" ht="21.75" hidden="false" customHeight="true" outlineLevel="0" collapsed="false">
      <c r="A29" s="27" t="s">
        <v>70</v>
      </c>
      <c r="B29" s="30" t="n">
        <f aca="false">AVERAGE(B26:B28)</f>
        <v>28.6666666666667</v>
      </c>
      <c r="C29" s="30" t="n">
        <f aca="false">AVERAGE(C26:C28)</f>
        <v>17.6666666666667</v>
      </c>
      <c r="D29" s="30" t="n">
        <f aca="false">AVERAGE(D26:D28)</f>
        <v>15.3333333333333</v>
      </c>
      <c r="E29" s="30" t="n">
        <f aca="false">SUM(B29:D29)</f>
        <v>61.6666666666667</v>
      </c>
      <c r="F29" s="27" t="s">
        <v>71</v>
      </c>
    </row>
  </sheetData>
  <mergeCells count="14">
    <mergeCell ref="A1:I1"/>
    <mergeCell ref="A2:I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32"/>
    <col collapsed="false" customWidth="true" hidden="false" outlineLevel="0" max="6" min="6" style="0" width="52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28"/>
    <col collapsed="false" customWidth="true" hidden="false" outlineLevel="0" max="11" min="11" style="0" width="44"/>
    <col collapsed="false" customWidth="true" hidden="false" outlineLevel="0" max="13" min="12" style="0" width="15"/>
    <col collapsed="false" customWidth="true" hidden="false" outlineLevel="0" max="14" min="14" style="0" width="18"/>
    <col collapsed="false" customWidth="true" hidden="false" outlineLevel="0" max="15" min="15" style="0" width="16"/>
  </cols>
  <sheetData>
    <row r="1" customFormat="false" ht="27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32" t="s">
        <v>73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customFormat="false" ht="18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5" customFormat="false" ht="27.75" hidden="false" customHeight="true" outlineLevel="0" collapsed="false">
      <c r="A5" s="8" t="s">
        <v>74</v>
      </c>
      <c r="B5" s="8" t="s">
        <v>75</v>
      </c>
      <c r="C5" s="8" t="s">
        <v>76</v>
      </c>
      <c r="D5" s="8" t="s">
        <v>77</v>
      </c>
      <c r="E5" s="8" t="s">
        <v>78</v>
      </c>
      <c r="F5" s="8" t="s">
        <v>79</v>
      </c>
      <c r="G5" s="8" t="s">
        <v>80</v>
      </c>
      <c r="H5" s="8" t="s">
        <v>81</v>
      </c>
      <c r="I5" s="8" t="s">
        <v>82</v>
      </c>
      <c r="J5" s="8" t="s">
        <v>83</v>
      </c>
      <c r="K5" s="8" t="s">
        <v>84</v>
      </c>
      <c r="L5" s="8" t="s">
        <v>85</v>
      </c>
      <c r="M5" s="8" t="s">
        <v>86</v>
      </c>
      <c r="N5" s="8" t="s">
        <v>87</v>
      </c>
      <c r="O5" s="8" t="s">
        <v>88</v>
      </c>
    </row>
    <row r="6" customFormat="false" ht="48" hidden="false" customHeight="true" outlineLevel="0" collapsed="false">
      <c r="A6" s="33" t="s">
        <v>89</v>
      </c>
      <c r="B6" s="34" t="n">
        <v>46310</v>
      </c>
      <c r="C6" s="35" t="s">
        <v>90</v>
      </c>
      <c r="D6" s="36" t="s">
        <v>91</v>
      </c>
      <c r="E6" s="37" t="s">
        <v>92</v>
      </c>
      <c r="F6" s="36" t="s">
        <v>93</v>
      </c>
      <c r="G6" s="36" t="s">
        <v>94</v>
      </c>
      <c r="H6" s="37" t="s">
        <v>95</v>
      </c>
      <c r="I6" s="36" t="s">
        <v>96</v>
      </c>
      <c r="J6" s="36" t="s">
        <v>97</v>
      </c>
      <c r="K6" s="36" t="s">
        <v>98</v>
      </c>
      <c r="L6" s="38" t="n">
        <v>68</v>
      </c>
      <c r="M6" s="39" t="n">
        <v>6.75</v>
      </c>
      <c r="N6" s="40"/>
      <c r="O6" s="33" t="s">
        <v>99</v>
      </c>
    </row>
    <row r="7" customFormat="false" ht="48" hidden="false" customHeight="true" outlineLevel="0" collapsed="false">
      <c r="A7" s="33" t="s">
        <v>100</v>
      </c>
      <c r="B7" s="34" t="n">
        <v>46311</v>
      </c>
      <c r="C7" s="35" t="s">
        <v>101</v>
      </c>
      <c r="D7" s="36" t="s">
        <v>102</v>
      </c>
      <c r="E7" s="37" t="s">
        <v>103</v>
      </c>
      <c r="F7" s="36" t="s">
        <v>104</v>
      </c>
      <c r="G7" s="36" t="s">
        <v>105</v>
      </c>
      <c r="H7" s="37" t="s">
        <v>106</v>
      </c>
      <c r="I7" s="36" t="s">
        <v>107</v>
      </c>
      <c r="J7" s="36" t="s">
        <v>97</v>
      </c>
      <c r="K7" s="36" t="s">
        <v>108</v>
      </c>
      <c r="L7" s="38" t="n">
        <v>68</v>
      </c>
      <c r="M7" s="39" t="n">
        <v>6.75</v>
      </c>
      <c r="N7" s="40"/>
      <c r="O7" s="33" t="s">
        <v>99</v>
      </c>
    </row>
    <row r="8" customFormat="false" ht="48" hidden="false" customHeight="true" outlineLevel="0" collapsed="false">
      <c r="A8" s="41" t="s">
        <v>109</v>
      </c>
      <c r="B8" s="42" t="n">
        <v>46312</v>
      </c>
      <c r="C8" s="43" t="s">
        <v>110</v>
      </c>
      <c r="D8" s="44" t="s">
        <v>111</v>
      </c>
      <c r="E8" s="45" t="s">
        <v>112</v>
      </c>
      <c r="F8" s="44" t="s">
        <v>113</v>
      </c>
      <c r="G8" s="44" t="s">
        <v>114</v>
      </c>
      <c r="H8" s="45" t="s">
        <v>115</v>
      </c>
      <c r="I8" s="44" t="s">
        <v>116</v>
      </c>
      <c r="J8" s="44" t="s">
        <v>117</v>
      </c>
      <c r="K8" s="44" t="s">
        <v>118</v>
      </c>
      <c r="L8" s="46" t="n">
        <v>85</v>
      </c>
      <c r="M8" s="47" t="n">
        <v>6.5</v>
      </c>
      <c r="N8" s="40"/>
      <c r="O8" s="41" t="s">
        <v>99</v>
      </c>
    </row>
    <row r="9" customFormat="false" ht="24" hidden="false" customHeight="true" outlineLevel="0" collapsed="false">
      <c r="A9" s="48" t="s">
        <v>119</v>
      </c>
      <c r="B9" s="49" t="n">
        <v>46313</v>
      </c>
      <c r="C9" s="25" t="s">
        <v>120</v>
      </c>
      <c r="D9" s="26" t="s">
        <v>121</v>
      </c>
      <c r="E9" s="21" t="s">
        <v>122</v>
      </c>
      <c r="F9" s="26" t="s">
        <v>123</v>
      </c>
      <c r="G9" s="26" t="s">
        <v>124</v>
      </c>
      <c r="H9" s="21" t="s">
        <v>125</v>
      </c>
      <c r="I9" s="26" t="s">
        <v>126</v>
      </c>
      <c r="J9" s="26" t="s">
        <v>125</v>
      </c>
      <c r="K9" s="26" t="s">
        <v>127</v>
      </c>
      <c r="L9" s="23" t="n">
        <v>0</v>
      </c>
      <c r="M9" s="50" t="n">
        <v>0</v>
      </c>
      <c r="N9" s="40"/>
      <c r="O9" s="48" t="s">
        <v>128</v>
      </c>
    </row>
    <row r="10" customFormat="false" ht="24" hidden="false" customHeight="true" outlineLevel="0" collapsed="false">
      <c r="A10" s="48" t="s">
        <v>129</v>
      </c>
      <c r="B10" s="49" t="n">
        <v>46314</v>
      </c>
      <c r="C10" s="25" t="s">
        <v>130</v>
      </c>
      <c r="D10" s="26" t="s">
        <v>121</v>
      </c>
      <c r="E10" s="21" t="s">
        <v>131</v>
      </c>
      <c r="F10" s="26" t="s">
        <v>132</v>
      </c>
      <c r="G10" s="26" t="s">
        <v>124</v>
      </c>
      <c r="H10" s="21" t="s">
        <v>125</v>
      </c>
      <c r="I10" s="26" t="s">
        <v>126</v>
      </c>
      <c r="J10" s="26" t="s">
        <v>125</v>
      </c>
      <c r="K10" s="26" t="s">
        <v>127</v>
      </c>
      <c r="L10" s="23" t="n">
        <v>0</v>
      </c>
      <c r="M10" s="50" t="n">
        <v>0</v>
      </c>
      <c r="N10" s="40"/>
      <c r="O10" s="48" t="s">
        <v>128</v>
      </c>
    </row>
    <row r="11" customFormat="false" ht="24" hidden="false" customHeight="true" outlineLevel="0" collapsed="false">
      <c r="A11" s="48" t="s">
        <v>133</v>
      </c>
      <c r="B11" s="49" t="n">
        <v>46315</v>
      </c>
      <c r="C11" s="25" t="s">
        <v>134</v>
      </c>
      <c r="D11" s="26" t="s">
        <v>121</v>
      </c>
      <c r="E11" s="21" t="s">
        <v>135</v>
      </c>
      <c r="F11" s="26" t="s">
        <v>136</v>
      </c>
      <c r="G11" s="26" t="s">
        <v>124</v>
      </c>
      <c r="H11" s="21" t="s">
        <v>125</v>
      </c>
      <c r="I11" s="26" t="s">
        <v>126</v>
      </c>
      <c r="J11" s="26" t="s">
        <v>125</v>
      </c>
      <c r="K11" s="26" t="s">
        <v>127</v>
      </c>
      <c r="L11" s="23" t="n">
        <v>0</v>
      </c>
      <c r="M11" s="50" t="n">
        <v>0</v>
      </c>
      <c r="N11" s="40"/>
      <c r="O11" s="48" t="s">
        <v>128</v>
      </c>
    </row>
    <row r="12" customFormat="false" ht="24" hidden="false" customHeight="true" outlineLevel="0" collapsed="false">
      <c r="A12" s="48" t="s">
        <v>137</v>
      </c>
      <c r="B12" s="49" t="n">
        <v>46316</v>
      </c>
      <c r="C12" s="25" t="s">
        <v>138</v>
      </c>
      <c r="D12" s="26" t="s">
        <v>121</v>
      </c>
      <c r="E12" s="21" t="s">
        <v>139</v>
      </c>
      <c r="F12" s="26" t="s">
        <v>140</v>
      </c>
      <c r="G12" s="26" t="s">
        <v>124</v>
      </c>
      <c r="H12" s="21" t="s">
        <v>125</v>
      </c>
      <c r="I12" s="26" t="s">
        <v>126</v>
      </c>
      <c r="J12" s="26" t="s">
        <v>125</v>
      </c>
      <c r="K12" s="26" t="s">
        <v>127</v>
      </c>
      <c r="L12" s="23" t="n">
        <v>0</v>
      </c>
      <c r="M12" s="50" t="n">
        <v>0</v>
      </c>
      <c r="N12" s="40"/>
      <c r="O12" s="48" t="s">
        <v>128</v>
      </c>
    </row>
    <row r="13" customFormat="false" ht="48" hidden="false" customHeight="true" outlineLevel="0" collapsed="false">
      <c r="A13" s="33" t="s">
        <v>141</v>
      </c>
      <c r="B13" s="34" t="n">
        <v>46317</v>
      </c>
      <c r="C13" s="35" t="s">
        <v>90</v>
      </c>
      <c r="D13" s="36" t="s">
        <v>142</v>
      </c>
      <c r="E13" s="37" t="s">
        <v>143</v>
      </c>
      <c r="F13" s="36" t="s">
        <v>144</v>
      </c>
      <c r="G13" s="36" t="s">
        <v>145</v>
      </c>
      <c r="H13" s="37" t="s">
        <v>146</v>
      </c>
      <c r="I13" s="36" t="s">
        <v>147</v>
      </c>
      <c r="J13" s="36" t="s">
        <v>148</v>
      </c>
      <c r="K13" s="36" t="s">
        <v>149</v>
      </c>
      <c r="L13" s="38" t="n">
        <v>68</v>
      </c>
      <c r="M13" s="39" t="n">
        <v>6.75</v>
      </c>
      <c r="N13" s="40"/>
      <c r="O13" s="33" t="s">
        <v>99</v>
      </c>
    </row>
    <row r="14" customFormat="false" ht="48" hidden="false" customHeight="true" outlineLevel="0" collapsed="false">
      <c r="A14" s="33" t="s">
        <v>150</v>
      </c>
      <c r="B14" s="34" t="n">
        <v>46318</v>
      </c>
      <c r="C14" s="35" t="s">
        <v>101</v>
      </c>
      <c r="D14" s="36" t="s">
        <v>151</v>
      </c>
      <c r="E14" s="37" t="s">
        <v>152</v>
      </c>
      <c r="F14" s="36" t="s">
        <v>153</v>
      </c>
      <c r="G14" s="36" t="s">
        <v>154</v>
      </c>
      <c r="H14" s="37" t="s">
        <v>155</v>
      </c>
      <c r="I14" s="36" t="s">
        <v>156</v>
      </c>
      <c r="J14" s="36" t="s">
        <v>157</v>
      </c>
      <c r="K14" s="36" t="s">
        <v>158</v>
      </c>
      <c r="L14" s="38" t="n">
        <v>68</v>
      </c>
      <c r="M14" s="39" t="n">
        <v>6.75</v>
      </c>
      <c r="N14" s="40"/>
      <c r="O14" s="33" t="s">
        <v>99</v>
      </c>
    </row>
    <row r="15" customFormat="false" ht="48" hidden="false" customHeight="true" outlineLevel="0" collapsed="false">
      <c r="A15" s="33" t="s">
        <v>159</v>
      </c>
      <c r="B15" s="34" t="n">
        <v>46319</v>
      </c>
      <c r="C15" s="35" t="s">
        <v>110</v>
      </c>
      <c r="D15" s="36" t="s">
        <v>160</v>
      </c>
      <c r="E15" s="37" t="s">
        <v>161</v>
      </c>
      <c r="F15" s="36" t="s">
        <v>162</v>
      </c>
      <c r="G15" s="36" t="s">
        <v>163</v>
      </c>
      <c r="H15" s="37" t="s">
        <v>164</v>
      </c>
      <c r="I15" s="36" t="s">
        <v>165</v>
      </c>
      <c r="J15" s="36" t="s">
        <v>166</v>
      </c>
      <c r="K15" s="36" t="s">
        <v>167</v>
      </c>
      <c r="L15" s="38" t="n">
        <v>68</v>
      </c>
      <c r="M15" s="39" t="n">
        <v>6.75</v>
      </c>
      <c r="N15" s="40"/>
      <c r="O15" s="33" t="s">
        <v>99</v>
      </c>
    </row>
    <row r="16" customFormat="false" ht="48" hidden="false" customHeight="true" outlineLevel="0" collapsed="false">
      <c r="A16" s="41" t="s">
        <v>168</v>
      </c>
      <c r="B16" s="42" t="n">
        <v>46320</v>
      </c>
      <c r="C16" s="43" t="s">
        <v>120</v>
      </c>
      <c r="D16" s="44" t="s">
        <v>111</v>
      </c>
      <c r="E16" s="45" t="s">
        <v>169</v>
      </c>
      <c r="F16" s="44" t="s">
        <v>170</v>
      </c>
      <c r="G16" s="44" t="s">
        <v>171</v>
      </c>
      <c r="H16" s="45" t="s">
        <v>115</v>
      </c>
      <c r="I16" s="44" t="s">
        <v>172</v>
      </c>
      <c r="J16" s="44" t="s">
        <v>117</v>
      </c>
      <c r="K16" s="44" t="s">
        <v>173</v>
      </c>
      <c r="L16" s="46" t="n">
        <v>85</v>
      </c>
      <c r="M16" s="47" t="n">
        <v>6.5</v>
      </c>
      <c r="N16" s="40"/>
      <c r="O16" s="41" t="s">
        <v>99</v>
      </c>
    </row>
    <row r="17" customFormat="false" ht="48" hidden="false" customHeight="true" outlineLevel="0" collapsed="false">
      <c r="A17" s="33" t="s">
        <v>174</v>
      </c>
      <c r="B17" s="34" t="n">
        <v>46321</v>
      </c>
      <c r="C17" s="35" t="s">
        <v>130</v>
      </c>
      <c r="D17" s="36" t="s">
        <v>175</v>
      </c>
      <c r="E17" s="37" t="s">
        <v>176</v>
      </c>
      <c r="F17" s="36" t="s">
        <v>177</v>
      </c>
      <c r="G17" s="36" t="s">
        <v>178</v>
      </c>
      <c r="H17" s="37" t="s">
        <v>179</v>
      </c>
      <c r="I17" s="36" t="s">
        <v>180</v>
      </c>
      <c r="J17" s="36" t="s">
        <v>148</v>
      </c>
      <c r="K17" s="36" t="s">
        <v>181</v>
      </c>
      <c r="L17" s="38" t="n">
        <v>68</v>
      </c>
      <c r="M17" s="39" t="n">
        <v>6.75</v>
      </c>
      <c r="N17" s="40"/>
      <c r="O17" s="33" t="s">
        <v>99</v>
      </c>
    </row>
    <row r="18" customFormat="false" ht="48" hidden="false" customHeight="true" outlineLevel="0" collapsed="false">
      <c r="A18" s="33" t="s">
        <v>182</v>
      </c>
      <c r="B18" s="34" t="n">
        <v>46322</v>
      </c>
      <c r="C18" s="35" t="s">
        <v>134</v>
      </c>
      <c r="D18" s="36" t="s">
        <v>183</v>
      </c>
      <c r="E18" s="37" t="s">
        <v>184</v>
      </c>
      <c r="F18" s="36" t="s">
        <v>185</v>
      </c>
      <c r="G18" s="36" t="s">
        <v>186</v>
      </c>
      <c r="H18" s="37" t="s">
        <v>187</v>
      </c>
      <c r="I18" s="36" t="s">
        <v>188</v>
      </c>
      <c r="J18" s="36" t="s">
        <v>189</v>
      </c>
      <c r="K18" s="36" t="s">
        <v>190</v>
      </c>
      <c r="L18" s="38" t="n">
        <v>68</v>
      </c>
      <c r="M18" s="39" t="n">
        <v>6.75</v>
      </c>
      <c r="N18" s="40"/>
      <c r="O18" s="33" t="s">
        <v>99</v>
      </c>
    </row>
    <row r="19" customFormat="false" ht="48" hidden="false" customHeight="true" outlineLevel="0" collapsed="false">
      <c r="A19" s="33" t="s">
        <v>191</v>
      </c>
      <c r="B19" s="34" t="n">
        <v>46323</v>
      </c>
      <c r="C19" s="35" t="s">
        <v>138</v>
      </c>
      <c r="D19" s="36" t="s">
        <v>192</v>
      </c>
      <c r="E19" s="37" t="s">
        <v>193</v>
      </c>
      <c r="F19" s="36" t="s">
        <v>194</v>
      </c>
      <c r="G19" s="36" t="s">
        <v>195</v>
      </c>
      <c r="H19" s="37" t="s">
        <v>196</v>
      </c>
      <c r="I19" s="36" t="s">
        <v>197</v>
      </c>
      <c r="J19" s="36" t="s">
        <v>198</v>
      </c>
      <c r="K19" s="36" t="s">
        <v>199</v>
      </c>
      <c r="L19" s="38" t="n">
        <v>68</v>
      </c>
      <c r="M19" s="39" t="n">
        <v>6.75</v>
      </c>
      <c r="N19" s="40"/>
      <c r="O19" s="33" t="s">
        <v>99</v>
      </c>
    </row>
    <row r="20" customFormat="false" ht="48" hidden="false" customHeight="true" outlineLevel="0" collapsed="false">
      <c r="A20" s="33" t="s">
        <v>200</v>
      </c>
      <c r="B20" s="34" t="n">
        <v>46324</v>
      </c>
      <c r="C20" s="35" t="s">
        <v>90</v>
      </c>
      <c r="D20" s="36" t="s">
        <v>201</v>
      </c>
      <c r="E20" s="37" t="s">
        <v>202</v>
      </c>
      <c r="F20" s="36" t="s">
        <v>203</v>
      </c>
      <c r="G20" s="36" t="s">
        <v>204</v>
      </c>
      <c r="H20" s="37" t="s">
        <v>205</v>
      </c>
      <c r="I20" s="36" t="s">
        <v>206</v>
      </c>
      <c r="J20" s="36" t="s">
        <v>198</v>
      </c>
      <c r="K20" s="36" t="s">
        <v>207</v>
      </c>
      <c r="L20" s="38" t="n">
        <v>68</v>
      </c>
      <c r="M20" s="39" t="n">
        <v>6.75</v>
      </c>
      <c r="N20" s="40"/>
      <c r="O20" s="33" t="s">
        <v>99</v>
      </c>
    </row>
    <row r="21" customFormat="false" ht="48" hidden="false" customHeight="true" outlineLevel="0" collapsed="false">
      <c r="A21" s="33" t="s">
        <v>208</v>
      </c>
      <c r="B21" s="34" t="n">
        <v>46325</v>
      </c>
      <c r="C21" s="35" t="s">
        <v>101</v>
      </c>
      <c r="D21" s="36" t="s">
        <v>209</v>
      </c>
      <c r="E21" s="37" t="s">
        <v>210</v>
      </c>
      <c r="F21" s="36" t="s">
        <v>211</v>
      </c>
      <c r="G21" s="36" t="s">
        <v>212</v>
      </c>
      <c r="H21" s="37" t="s">
        <v>213</v>
      </c>
      <c r="I21" s="36" t="s">
        <v>214</v>
      </c>
      <c r="J21" s="36" t="s">
        <v>215</v>
      </c>
      <c r="K21" s="36" t="s">
        <v>216</v>
      </c>
      <c r="L21" s="38" t="n">
        <v>68</v>
      </c>
      <c r="M21" s="39" t="n">
        <v>6.75</v>
      </c>
      <c r="N21" s="40"/>
      <c r="O21" s="33" t="s">
        <v>99</v>
      </c>
    </row>
    <row r="22" customFormat="false" ht="48" hidden="false" customHeight="true" outlineLevel="0" collapsed="false">
      <c r="A22" s="33" t="s">
        <v>217</v>
      </c>
      <c r="B22" s="34" t="n">
        <v>46326</v>
      </c>
      <c r="C22" s="35" t="s">
        <v>110</v>
      </c>
      <c r="D22" s="36" t="s">
        <v>218</v>
      </c>
      <c r="E22" s="37" t="s">
        <v>219</v>
      </c>
      <c r="F22" s="36" t="s">
        <v>220</v>
      </c>
      <c r="G22" s="36" t="s">
        <v>221</v>
      </c>
      <c r="H22" s="37" t="s">
        <v>222</v>
      </c>
      <c r="I22" s="36" t="s">
        <v>223</v>
      </c>
      <c r="J22" s="36" t="s">
        <v>224</v>
      </c>
      <c r="K22" s="36" t="s">
        <v>225</v>
      </c>
      <c r="L22" s="38" t="n">
        <v>68</v>
      </c>
      <c r="M22" s="39" t="n">
        <v>6.75</v>
      </c>
      <c r="N22" s="40"/>
      <c r="O22" s="33" t="s">
        <v>99</v>
      </c>
    </row>
    <row r="23" customFormat="false" ht="48" hidden="false" customHeight="true" outlineLevel="0" collapsed="false">
      <c r="A23" s="41" t="s">
        <v>226</v>
      </c>
      <c r="B23" s="42" t="n">
        <v>46327</v>
      </c>
      <c r="C23" s="43" t="s">
        <v>120</v>
      </c>
      <c r="D23" s="44" t="s">
        <v>111</v>
      </c>
      <c r="E23" s="45" t="s">
        <v>227</v>
      </c>
      <c r="F23" s="44" t="s">
        <v>228</v>
      </c>
      <c r="G23" s="44" t="s">
        <v>171</v>
      </c>
      <c r="H23" s="45" t="s">
        <v>115</v>
      </c>
      <c r="I23" s="44" t="s">
        <v>229</v>
      </c>
      <c r="J23" s="44" t="s">
        <v>117</v>
      </c>
      <c r="K23" s="44" t="s">
        <v>230</v>
      </c>
      <c r="L23" s="46" t="n">
        <v>85</v>
      </c>
      <c r="M23" s="47" t="n">
        <v>6.5</v>
      </c>
      <c r="N23" s="40"/>
      <c r="O23" s="41" t="s">
        <v>99</v>
      </c>
    </row>
    <row r="24" customFormat="false" ht="48" hidden="false" customHeight="true" outlineLevel="0" collapsed="false">
      <c r="A24" s="33" t="s">
        <v>231</v>
      </c>
      <c r="B24" s="34" t="n">
        <v>46328</v>
      </c>
      <c r="C24" s="35" t="s">
        <v>130</v>
      </c>
      <c r="D24" s="36" t="s">
        <v>232</v>
      </c>
      <c r="E24" s="37" t="s">
        <v>233</v>
      </c>
      <c r="F24" s="36" t="s">
        <v>234</v>
      </c>
      <c r="G24" s="36" t="s">
        <v>235</v>
      </c>
      <c r="H24" s="37" t="s">
        <v>236</v>
      </c>
      <c r="I24" s="36" t="s">
        <v>237</v>
      </c>
      <c r="J24" s="36" t="s">
        <v>238</v>
      </c>
      <c r="K24" s="36" t="s">
        <v>239</v>
      </c>
      <c r="L24" s="38" t="n">
        <v>68</v>
      </c>
      <c r="M24" s="39" t="n">
        <v>6.75</v>
      </c>
      <c r="N24" s="40"/>
      <c r="O24" s="33" t="s">
        <v>99</v>
      </c>
    </row>
    <row r="25" customFormat="false" ht="48" hidden="false" customHeight="true" outlineLevel="0" collapsed="false">
      <c r="A25" s="33" t="s">
        <v>240</v>
      </c>
      <c r="B25" s="34" t="n">
        <v>46329</v>
      </c>
      <c r="C25" s="35" t="s">
        <v>134</v>
      </c>
      <c r="D25" s="36" t="s">
        <v>241</v>
      </c>
      <c r="E25" s="37" t="s">
        <v>242</v>
      </c>
      <c r="F25" s="36" t="s">
        <v>243</v>
      </c>
      <c r="G25" s="36" t="s">
        <v>244</v>
      </c>
      <c r="H25" s="37" t="s">
        <v>245</v>
      </c>
      <c r="I25" s="36" t="s">
        <v>246</v>
      </c>
      <c r="J25" s="36" t="s">
        <v>247</v>
      </c>
      <c r="K25" s="36" t="s">
        <v>248</v>
      </c>
      <c r="L25" s="38" t="n">
        <v>68</v>
      </c>
      <c r="M25" s="39" t="n">
        <v>6.75</v>
      </c>
      <c r="N25" s="40"/>
      <c r="O25" s="33" t="s">
        <v>99</v>
      </c>
    </row>
    <row r="26" customFormat="false" ht="48" hidden="false" customHeight="true" outlineLevel="0" collapsed="false">
      <c r="A26" s="33" t="s">
        <v>249</v>
      </c>
      <c r="B26" s="34" t="n">
        <v>46330</v>
      </c>
      <c r="C26" s="35" t="s">
        <v>138</v>
      </c>
      <c r="D26" s="36" t="s">
        <v>250</v>
      </c>
      <c r="E26" s="37" t="s">
        <v>251</v>
      </c>
      <c r="F26" s="36" t="s">
        <v>252</v>
      </c>
      <c r="G26" s="36" t="s">
        <v>253</v>
      </c>
      <c r="H26" s="37" t="s">
        <v>254</v>
      </c>
      <c r="I26" s="36" t="s">
        <v>255</v>
      </c>
      <c r="J26" s="36" t="s">
        <v>256</v>
      </c>
      <c r="K26" s="36" t="s">
        <v>257</v>
      </c>
      <c r="L26" s="38" t="n">
        <v>68</v>
      </c>
      <c r="M26" s="39" t="n">
        <v>6.75</v>
      </c>
      <c r="N26" s="40"/>
      <c r="O26" s="33" t="s">
        <v>99</v>
      </c>
    </row>
    <row r="27" customFormat="false" ht="48" hidden="false" customHeight="true" outlineLevel="0" collapsed="false">
      <c r="A27" s="33" t="s">
        <v>258</v>
      </c>
      <c r="B27" s="34" t="n">
        <v>46331</v>
      </c>
      <c r="C27" s="35" t="s">
        <v>90</v>
      </c>
      <c r="D27" s="36" t="s">
        <v>259</v>
      </c>
      <c r="E27" s="37" t="s">
        <v>260</v>
      </c>
      <c r="F27" s="36" t="s">
        <v>261</v>
      </c>
      <c r="G27" s="36" t="s">
        <v>262</v>
      </c>
      <c r="H27" s="37" t="s">
        <v>263</v>
      </c>
      <c r="I27" s="36" t="s">
        <v>264</v>
      </c>
      <c r="J27" s="36" t="s">
        <v>265</v>
      </c>
      <c r="K27" s="36" t="s">
        <v>266</v>
      </c>
      <c r="L27" s="38" t="n">
        <v>68</v>
      </c>
      <c r="M27" s="39" t="n">
        <v>6.75</v>
      </c>
      <c r="N27" s="40"/>
      <c r="O27" s="33" t="s">
        <v>99</v>
      </c>
    </row>
    <row r="28" customFormat="false" ht="48" hidden="false" customHeight="true" outlineLevel="0" collapsed="false">
      <c r="A28" s="33" t="s">
        <v>267</v>
      </c>
      <c r="B28" s="34" t="n">
        <v>46332</v>
      </c>
      <c r="C28" s="35" t="s">
        <v>101</v>
      </c>
      <c r="D28" s="36" t="s">
        <v>268</v>
      </c>
      <c r="E28" s="37" t="s">
        <v>269</v>
      </c>
      <c r="F28" s="36" t="s">
        <v>270</v>
      </c>
      <c r="G28" s="36" t="s">
        <v>271</v>
      </c>
      <c r="H28" s="37" t="s">
        <v>272</v>
      </c>
      <c r="I28" s="36" t="s">
        <v>273</v>
      </c>
      <c r="J28" s="36" t="s">
        <v>274</v>
      </c>
      <c r="K28" s="36" t="s">
        <v>275</v>
      </c>
      <c r="L28" s="38" t="n">
        <v>68</v>
      </c>
      <c r="M28" s="39" t="n">
        <v>6.75</v>
      </c>
      <c r="N28" s="40"/>
      <c r="O28" s="33" t="s">
        <v>99</v>
      </c>
    </row>
    <row r="29" customFormat="false" ht="48" hidden="false" customHeight="true" outlineLevel="0" collapsed="false">
      <c r="A29" s="41" t="s">
        <v>276</v>
      </c>
      <c r="B29" s="42" t="n">
        <v>46333</v>
      </c>
      <c r="C29" s="43" t="s">
        <v>110</v>
      </c>
      <c r="D29" s="44" t="s">
        <v>111</v>
      </c>
      <c r="E29" s="45" t="s">
        <v>277</v>
      </c>
      <c r="F29" s="44" t="s">
        <v>278</v>
      </c>
      <c r="G29" s="44" t="s">
        <v>171</v>
      </c>
      <c r="H29" s="45" t="s">
        <v>115</v>
      </c>
      <c r="I29" s="44" t="s">
        <v>279</v>
      </c>
      <c r="J29" s="44" t="s">
        <v>117</v>
      </c>
      <c r="K29" s="44" t="s">
        <v>280</v>
      </c>
      <c r="L29" s="46" t="n">
        <v>85</v>
      </c>
      <c r="M29" s="47" t="n">
        <v>6.5</v>
      </c>
      <c r="N29" s="40"/>
      <c r="O29" s="41" t="s">
        <v>99</v>
      </c>
    </row>
    <row r="30" customFormat="false" ht="24" hidden="false" customHeight="true" outlineLevel="0" collapsed="false">
      <c r="A30" s="48" t="s">
        <v>281</v>
      </c>
      <c r="B30" s="49" t="n">
        <v>46334</v>
      </c>
      <c r="C30" s="25" t="s">
        <v>120</v>
      </c>
      <c r="D30" s="26" t="s">
        <v>121</v>
      </c>
      <c r="E30" s="21" t="s">
        <v>282</v>
      </c>
      <c r="F30" s="26" t="s">
        <v>283</v>
      </c>
      <c r="G30" s="26" t="s">
        <v>124</v>
      </c>
      <c r="H30" s="21" t="s">
        <v>125</v>
      </c>
      <c r="I30" s="26" t="s">
        <v>126</v>
      </c>
      <c r="J30" s="26" t="s">
        <v>125</v>
      </c>
      <c r="K30" s="26" t="s">
        <v>127</v>
      </c>
      <c r="L30" s="23" t="n">
        <v>0</v>
      </c>
      <c r="M30" s="50" t="n">
        <v>0</v>
      </c>
      <c r="N30" s="40"/>
      <c r="O30" s="48" t="s">
        <v>128</v>
      </c>
    </row>
    <row r="31" customFormat="false" ht="48" hidden="false" customHeight="true" outlineLevel="0" collapsed="false">
      <c r="A31" s="33" t="s">
        <v>284</v>
      </c>
      <c r="B31" s="34" t="n">
        <v>46335</v>
      </c>
      <c r="C31" s="35" t="s">
        <v>130</v>
      </c>
      <c r="D31" s="36" t="s">
        <v>285</v>
      </c>
      <c r="E31" s="37" t="s">
        <v>286</v>
      </c>
      <c r="F31" s="36" t="s">
        <v>287</v>
      </c>
      <c r="G31" s="36" t="s">
        <v>288</v>
      </c>
      <c r="H31" s="37" t="s">
        <v>289</v>
      </c>
      <c r="I31" s="36" t="s">
        <v>290</v>
      </c>
      <c r="J31" s="36" t="s">
        <v>291</v>
      </c>
      <c r="K31" s="36" t="s">
        <v>292</v>
      </c>
      <c r="L31" s="38" t="n">
        <v>68</v>
      </c>
      <c r="M31" s="39" t="n">
        <v>6.75</v>
      </c>
      <c r="N31" s="40"/>
      <c r="O31" s="33" t="s">
        <v>99</v>
      </c>
    </row>
    <row r="32" customFormat="false" ht="48" hidden="false" customHeight="true" outlineLevel="0" collapsed="false">
      <c r="A32" s="33" t="s">
        <v>293</v>
      </c>
      <c r="B32" s="34" t="n">
        <v>46336</v>
      </c>
      <c r="C32" s="35" t="s">
        <v>134</v>
      </c>
      <c r="D32" s="36" t="s">
        <v>294</v>
      </c>
      <c r="E32" s="37" t="s">
        <v>295</v>
      </c>
      <c r="F32" s="36" t="s">
        <v>296</v>
      </c>
      <c r="G32" s="36" t="s">
        <v>297</v>
      </c>
      <c r="H32" s="37" t="s">
        <v>298</v>
      </c>
      <c r="I32" s="36" t="s">
        <v>299</v>
      </c>
      <c r="J32" s="36" t="s">
        <v>300</v>
      </c>
      <c r="K32" s="36" t="s">
        <v>301</v>
      </c>
      <c r="L32" s="38" t="n">
        <v>68</v>
      </c>
      <c r="M32" s="39" t="n">
        <v>6.75</v>
      </c>
      <c r="N32" s="40"/>
      <c r="O32" s="33" t="s">
        <v>99</v>
      </c>
    </row>
    <row r="33" customFormat="false" ht="48" hidden="false" customHeight="true" outlineLevel="0" collapsed="false">
      <c r="A33" s="33" t="s">
        <v>302</v>
      </c>
      <c r="B33" s="34" t="n">
        <v>46337</v>
      </c>
      <c r="C33" s="35" t="s">
        <v>138</v>
      </c>
      <c r="D33" s="36" t="s">
        <v>303</v>
      </c>
      <c r="E33" s="37" t="s">
        <v>304</v>
      </c>
      <c r="F33" s="36" t="s">
        <v>305</v>
      </c>
      <c r="G33" s="36" t="s">
        <v>306</v>
      </c>
      <c r="H33" s="37" t="s">
        <v>307</v>
      </c>
      <c r="I33" s="36" t="s">
        <v>308</v>
      </c>
      <c r="J33" s="36" t="s">
        <v>309</v>
      </c>
      <c r="K33" s="36" t="s">
        <v>310</v>
      </c>
      <c r="L33" s="38" t="n">
        <v>68</v>
      </c>
      <c r="M33" s="39" t="n">
        <v>6.75</v>
      </c>
      <c r="N33" s="40"/>
      <c r="O33" s="33" t="s">
        <v>99</v>
      </c>
    </row>
    <row r="34" customFormat="false" ht="48" hidden="false" customHeight="true" outlineLevel="0" collapsed="false">
      <c r="A34" s="33" t="s">
        <v>311</v>
      </c>
      <c r="B34" s="34" t="n">
        <v>46338</v>
      </c>
      <c r="C34" s="35" t="s">
        <v>90</v>
      </c>
      <c r="D34" s="36" t="s">
        <v>312</v>
      </c>
      <c r="E34" s="37" t="s">
        <v>313</v>
      </c>
      <c r="F34" s="36" t="s">
        <v>314</v>
      </c>
      <c r="G34" s="36" t="s">
        <v>315</v>
      </c>
      <c r="H34" s="37" t="s">
        <v>316</v>
      </c>
      <c r="I34" s="36" t="s">
        <v>317</v>
      </c>
      <c r="J34" s="36" t="s">
        <v>318</v>
      </c>
      <c r="K34" s="36" t="s">
        <v>319</v>
      </c>
      <c r="L34" s="38" t="n">
        <v>68</v>
      </c>
      <c r="M34" s="39" t="n">
        <v>6.75</v>
      </c>
      <c r="N34" s="40"/>
      <c r="O34" s="33" t="s">
        <v>99</v>
      </c>
    </row>
    <row r="35" customFormat="false" ht="48" hidden="false" customHeight="true" outlineLevel="0" collapsed="false">
      <c r="A35" s="33" t="s">
        <v>320</v>
      </c>
      <c r="B35" s="34" t="n">
        <v>46339</v>
      </c>
      <c r="C35" s="35" t="s">
        <v>101</v>
      </c>
      <c r="D35" s="36" t="s">
        <v>321</v>
      </c>
      <c r="E35" s="37" t="s">
        <v>322</v>
      </c>
      <c r="F35" s="36" t="s">
        <v>323</v>
      </c>
      <c r="G35" s="36" t="s">
        <v>324</v>
      </c>
      <c r="H35" s="37" t="s">
        <v>325</v>
      </c>
      <c r="I35" s="36" t="s">
        <v>326</v>
      </c>
      <c r="J35" s="36" t="s">
        <v>327</v>
      </c>
      <c r="K35" s="36" t="s">
        <v>328</v>
      </c>
      <c r="L35" s="38" t="n">
        <v>68</v>
      </c>
      <c r="M35" s="39" t="n">
        <v>6.75</v>
      </c>
      <c r="N35" s="40"/>
      <c r="O35" s="33" t="s">
        <v>99</v>
      </c>
    </row>
    <row r="36" customFormat="false" ht="48" hidden="false" customHeight="true" outlineLevel="0" collapsed="false">
      <c r="A36" s="51" t="s">
        <v>329</v>
      </c>
      <c r="B36" s="52" t="n">
        <v>46340</v>
      </c>
      <c r="C36" s="53" t="s">
        <v>110</v>
      </c>
      <c r="D36" s="54" t="s">
        <v>330</v>
      </c>
      <c r="E36" s="55" t="s">
        <v>331</v>
      </c>
      <c r="F36" s="54" t="s">
        <v>332</v>
      </c>
      <c r="G36" s="54" t="s">
        <v>333</v>
      </c>
      <c r="H36" s="55" t="s">
        <v>334</v>
      </c>
      <c r="I36" s="54" t="s">
        <v>335</v>
      </c>
      <c r="J36" s="54" t="s">
        <v>336</v>
      </c>
      <c r="K36" s="54" t="s">
        <v>337</v>
      </c>
      <c r="L36" s="56" t="n">
        <v>95</v>
      </c>
      <c r="M36" s="57" t="n">
        <v>6.5</v>
      </c>
      <c r="N36" s="40"/>
      <c r="O36" s="51" t="s">
        <v>99</v>
      </c>
    </row>
    <row r="37" customFormat="false" ht="48" hidden="false" customHeight="true" outlineLevel="0" collapsed="false">
      <c r="A37" s="41" t="s">
        <v>338</v>
      </c>
      <c r="B37" s="42" t="n">
        <v>46341</v>
      </c>
      <c r="C37" s="43" t="s">
        <v>120</v>
      </c>
      <c r="D37" s="44" t="s">
        <v>111</v>
      </c>
      <c r="E37" s="45" t="s">
        <v>339</v>
      </c>
      <c r="F37" s="44" t="s">
        <v>340</v>
      </c>
      <c r="G37" s="44" t="s">
        <v>171</v>
      </c>
      <c r="H37" s="45" t="s">
        <v>341</v>
      </c>
      <c r="I37" s="44" t="s">
        <v>342</v>
      </c>
      <c r="J37" s="44" t="s">
        <v>117</v>
      </c>
      <c r="K37" s="44" t="s">
        <v>343</v>
      </c>
      <c r="L37" s="46" t="n">
        <v>85</v>
      </c>
      <c r="M37" s="47" t="n">
        <v>6.5</v>
      </c>
      <c r="N37" s="40"/>
      <c r="O37" s="41" t="s">
        <v>99</v>
      </c>
    </row>
    <row r="38" customFormat="false" ht="48" hidden="false" customHeight="true" outlineLevel="0" collapsed="false">
      <c r="A38" s="51" t="s">
        <v>344</v>
      </c>
      <c r="B38" s="52" t="n">
        <v>46342</v>
      </c>
      <c r="C38" s="53" t="s">
        <v>130</v>
      </c>
      <c r="D38" s="54" t="s">
        <v>345</v>
      </c>
      <c r="E38" s="55" t="s">
        <v>346</v>
      </c>
      <c r="F38" s="54" t="s">
        <v>347</v>
      </c>
      <c r="G38" s="54" t="s">
        <v>333</v>
      </c>
      <c r="H38" s="55" t="s">
        <v>348</v>
      </c>
      <c r="I38" s="54" t="s">
        <v>349</v>
      </c>
      <c r="J38" s="54" t="s">
        <v>350</v>
      </c>
      <c r="K38" s="54" t="s">
        <v>351</v>
      </c>
      <c r="L38" s="56" t="n">
        <v>95</v>
      </c>
      <c r="M38" s="57" t="n">
        <v>6.5</v>
      </c>
      <c r="N38" s="40"/>
      <c r="O38" s="51" t="s">
        <v>99</v>
      </c>
    </row>
    <row r="39" customFormat="false" ht="48" hidden="false" customHeight="true" outlineLevel="0" collapsed="false">
      <c r="A39" s="51" t="s">
        <v>352</v>
      </c>
      <c r="B39" s="52" t="n">
        <v>46343</v>
      </c>
      <c r="C39" s="53" t="s">
        <v>134</v>
      </c>
      <c r="D39" s="54" t="s">
        <v>353</v>
      </c>
      <c r="E39" s="55" t="s">
        <v>354</v>
      </c>
      <c r="F39" s="54" t="s">
        <v>355</v>
      </c>
      <c r="G39" s="54" t="s">
        <v>333</v>
      </c>
      <c r="H39" s="55" t="s">
        <v>356</v>
      </c>
      <c r="I39" s="54" t="s">
        <v>357</v>
      </c>
      <c r="J39" s="54" t="s">
        <v>358</v>
      </c>
      <c r="K39" s="54" t="s">
        <v>359</v>
      </c>
      <c r="L39" s="56" t="n">
        <v>95</v>
      </c>
      <c r="M39" s="57" t="n">
        <v>6.5</v>
      </c>
      <c r="N39" s="40"/>
      <c r="O39" s="51" t="s">
        <v>99</v>
      </c>
    </row>
    <row r="40" customFormat="false" ht="48" hidden="false" customHeight="true" outlineLevel="0" collapsed="false">
      <c r="A40" s="51" t="s">
        <v>360</v>
      </c>
      <c r="B40" s="52" t="n">
        <v>46344</v>
      </c>
      <c r="C40" s="53" t="s">
        <v>138</v>
      </c>
      <c r="D40" s="54" t="s">
        <v>361</v>
      </c>
      <c r="E40" s="55" t="s">
        <v>362</v>
      </c>
      <c r="F40" s="54" t="s">
        <v>363</v>
      </c>
      <c r="G40" s="54" t="s">
        <v>333</v>
      </c>
      <c r="H40" s="55" t="s">
        <v>364</v>
      </c>
      <c r="I40" s="54" t="s">
        <v>365</v>
      </c>
      <c r="J40" s="54" t="s">
        <v>366</v>
      </c>
      <c r="K40" s="54" t="s">
        <v>367</v>
      </c>
      <c r="L40" s="56" t="n">
        <v>95</v>
      </c>
      <c r="M40" s="57" t="n">
        <v>6.5</v>
      </c>
      <c r="N40" s="40"/>
      <c r="O40" s="51" t="s">
        <v>99</v>
      </c>
    </row>
    <row r="41" customFormat="false" ht="48" hidden="false" customHeight="true" outlineLevel="0" collapsed="false">
      <c r="A41" s="51" t="s">
        <v>368</v>
      </c>
      <c r="B41" s="52" t="n">
        <v>46345</v>
      </c>
      <c r="C41" s="53" t="s">
        <v>90</v>
      </c>
      <c r="D41" s="54" t="s">
        <v>369</v>
      </c>
      <c r="E41" s="55" t="s">
        <v>370</v>
      </c>
      <c r="F41" s="54" t="s">
        <v>371</v>
      </c>
      <c r="G41" s="54" t="s">
        <v>333</v>
      </c>
      <c r="H41" s="55" t="s">
        <v>372</v>
      </c>
      <c r="I41" s="54" t="s">
        <v>373</v>
      </c>
      <c r="J41" s="54" t="s">
        <v>374</v>
      </c>
      <c r="K41" s="54" t="s">
        <v>375</v>
      </c>
      <c r="L41" s="56" t="n">
        <v>95</v>
      </c>
      <c r="M41" s="57" t="n">
        <v>6.5</v>
      </c>
      <c r="N41" s="40"/>
      <c r="O41" s="51" t="s">
        <v>99</v>
      </c>
    </row>
    <row r="42" customFormat="false" ht="48" hidden="false" customHeight="true" outlineLevel="0" collapsed="false">
      <c r="A42" s="51" t="s">
        <v>376</v>
      </c>
      <c r="B42" s="52" t="n">
        <v>46346</v>
      </c>
      <c r="C42" s="53" t="s">
        <v>101</v>
      </c>
      <c r="D42" s="54" t="s">
        <v>377</v>
      </c>
      <c r="E42" s="55" t="s">
        <v>378</v>
      </c>
      <c r="F42" s="54" t="s">
        <v>379</v>
      </c>
      <c r="G42" s="54" t="s">
        <v>333</v>
      </c>
      <c r="H42" s="55" t="s">
        <v>380</v>
      </c>
      <c r="I42" s="54" t="s">
        <v>381</v>
      </c>
      <c r="J42" s="54" t="s">
        <v>382</v>
      </c>
      <c r="K42" s="54" t="s">
        <v>383</v>
      </c>
      <c r="L42" s="56" t="n">
        <v>95</v>
      </c>
      <c r="M42" s="57" t="n">
        <v>6.5</v>
      </c>
      <c r="N42" s="40"/>
      <c r="O42" s="51" t="s">
        <v>99</v>
      </c>
    </row>
    <row r="43" customFormat="false" ht="48" hidden="false" customHeight="true" outlineLevel="0" collapsed="false">
      <c r="A43" s="51" t="s">
        <v>384</v>
      </c>
      <c r="B43" s="52" t="n">
        <v>46347</v>
      </c>
      <c r="C43" s="53" t="s">
        <v>110</v>
      </c>
      <c r="D43" s="54" t="s">
        <v>330</v>
      </c>
      <c r="E43" s="55" t="s">
        <v>331</v>
      </c>
      <c r="F43" s="54" t="s">
        <v>332</v>
      </c>
      <c r="G43" s="54" t="s">
        <v>333</v>
      </c>
      <c r="H43" s="55" t="s">
        <v>334</v>
      </c>
      <c r="I43" s="54" t="s">
        <v>335</v>
      </c>
      <c r="J43" s="54" t="s">
        <v>336</v>
      </c>
      <c r="K43" s="54" t="s">
        <v>337</v>
      </c>
      <c r="L43" s="56" t="n">
        <v>95</v>
      </c>
      <c r="M43" s="57" t="n">
        <v>6.5</v>
      </c>
      <c r="N43" s="40"/>
      <c r="O43" s="51" t="s">
        <v>99</v>
      </c>
    </row>
    <row r="44" customFormat="false" ht="48" hidden="false" customHeight="true" outlineLevel="0" collapsed="false">
      <c r="A44" s="41" t="s">
        <v>385</v>
      </c>
      <c r="B44" s="42" t="n">
        <v>46348</v>
      </c>
      <c r="C44" s="43" t="s">
        <v>120</v>
      </c>
      <c r="D44" s="44" t="s">
        <v>111</v>
      </c>
      <c r="E44" s="45" t="s">
        <v>386</v>
      </c>
      <c r="F44" s="44" t="s">
        <v>387</v>
      </c>
      <c r="G44" s="44" t="s">
        <v>171</v>
      </c>
      <c r="H44" s="45" t="s">
        <v>115</v>
      </c>
      <c r="I44" s="44" t="s">
        <v>388</v>
      </c>
      <c r="J44" s="44" t="s">
        <v>117</v>
      </c>
      <c r="K44" s="44" t="s">
        <v>389</v>
      </c>
      <c r="L44" s="46" t="n">
        <v>85</v>
      </c>
      <c r="M44" s="47" t="n">
        <v>6.5</v>
      </c>
      <c r="N44" s="40"/>
      <c r="O44" s="41" t="s">
        <v>99</v>
      </c>
    </row>
    <row r="45" customFormat="false" ht="48" hidden="false" customHeight="true" outlineLevel="0" collapsed="false">
      <c r="A45" s="51" t="s">
        <v>390</v>
      </c>
      <c r="B45" s="52" t="n">
        <v>46349</v>
      </c>
      <c r="C45" s="53" t="s">
        <v>130</v>
      </c>
      <c r="D45" s="54" t="s">
        <v>345</v>
      </c>
      <c r="E45" s="55" t="s">
        <v>346</v>
      </c>
      <c r="F45" s="54" t="s">
        <v>347</v>
      </c>
      <c r="G45" s="54" t="s">
        <v>333</v>
      </c>
      <c r="H45" s="55" t="s">
        <v>348</v>
      </c>
      <c r="I45" s="54" t="s">
        <v>349</v>
      </c>
      <c r="J45" s="54" t="s">
        <v>350</v>
      </c>
      <c r="K45" s="54" t="s">
        <v>351</v>
      </c>
      <c r="L45" s="56" t="n">
        <v>95</v>
      </c>
      <c r="M45" s="57" t="n">
        <v>6.5</v>
      </c>
      <c r="N45" s="40"/>
      <c r="O45" s="51" t="s">
        <v>99</v>
      </c>
    </row>
    <row r="46" customFormat="false" ht="24" hidden="false" customHeight="true" outlineLevel="0" collapsed="false">
      <c r="A46" s="48" t="s">
        <v>391</v>
      </c>
      <c r="B46" s="49" t="n">
        <v>46350</v>
      </c>
      <c r="C46" s="25" t="s">
        <v>134</v>
      </c>
      <c r="D46" s="26" t="s">
        <v>121</v>
      </c>
      <c r="E46" s="21" t="s">
        <v>392</v>
      </c>
      <c r="F46" s="26" t="s">
        <v>393</v>
      </c>
      <c r="G46" s="26" t="s">
        <v>124</v>
      </c>
      <c r="H46" s="21" t="s">
        <v>125</v>
      </c>
      <c r="I46" s="26" t="s">
        <v>126</v>
      </c>
      <c r="J46" s="26" t="s">
        <v>125</v>
      </c>
      <c r="K46" s="26" t="s">
        <v>127</v>
      </c>
      <c r="L46" s="23" t="n">
        <v>0</v>
      </c>
      <c r="M46" s="50" t="n">
        <v>0</v>
      </c>
      <c r="N46" s="40"/>
      <c r="O46" s="48" t="s">
        <v>128</v>
      </c>
    </row>
    <row r="47" customFormat="false" ht="48" hidden="false" customHeight="true" outlineLevel="0" collapsed="false">
      <c r="A47" s="51" t="s">
        <v>394</v>
      </c>
      <c r="B47" s="52" t="n">
        <v>46351</v>
      </c>
      <c r="C47" s="53" t="s">
        <v>138</v>
      </c>
      <c r="D47" s="54" t="s">
        <v>353</v>
      </c>
      <c r="E47" s="55" t="s">
        <v>354</v>
      </c>
      <c r="F47" s="54" t="s">
        <v>355</v>
      </c>
      <c r="G47" s="54" t="s">
        <v>333</v>
      </c>
      <c r="H47" s="55" t="s">
        <v>356</v>
      </c>
      <c r="I47" s="54" t="s">
        <v>357</v>
      </c>
      <c r="J47" s="54" t="s">
        <v>358</v>
      </c>
      <c r="K47" s="54" t="s">
        <v>359</v>
      </c>
      <c r="L47" s="56" t="n">
        <v>95</v>
      </c>
      <c r="M47" s="57" t="n">
        <v>6.5</v>
      </c>
      <c r="N47" s="40"/>
      <c r="O47" s="51" t="s">
        <v>99</v>
      </c>
    </row>
    <row r="48" customFormat="false" ht="48" hidden="false" customHeight="true" outlineLevel="0" collapsed="false">
      <c r="A48" s="51" t="s">
        <v>395</v>
      </c>
      <c r="B48" s="52" t="n">
        <v>46352</v>
      </c>
      <c r="C48" s="53" t="s">
        <v>90</v>
      </c>
      <c r="D48" s="54" t="s">
        <v>361</v>
      </c>
      <c r="E48" s="55" t="s">
        <v>362</v>
      </c>
      <c r="F48" s="54" t="s">
        <v>363</v>
      </c>
      <c r="G48" s="54" t="s">
        <v>333</v>
      </c>
      <c r="H48" s="55" t="s">
        <v>364</v>
      </c>
      <c r="I48" s="54" t="s">
        <v>365</v>
      </c>
      <c r="J48" s="54" t="s">
        <v>366</v>
      </c>
      <c r="K48" s="54" t="s">
        <v>367</v>
      </c>
      <c r="L48" s="56" t="n">
        <v>95</v>
      </c>
      <c r="M48" s="57" t="n">
        <v>6.5</v>
      </c>
      <c r="N48" s="40"/>
      <c r="O48" s="51" t="s">
        <v>99</v>
      </c>
    </row>
    <row r="49" customFormat="false" ht="48" hidden="false" customHeight="true" outlineLevel="0" collapsed="false">
      <c r="A49" s="51" t="s">
        <v>396</v>
      </c>
      <c r="B49" s="52" t="n">
        <v>46353</v>
      </c>
      <c r="C49" s="53" t="s">
        <v>101</v>
      </c>
      <c r="D49" s="54" t="s">
        <v>369</v>
      </c>
      <c r="E49" s="55" t="s">
        <v>370</v>
      </c>
      <c r="F49" s="54" t="s">
        <v>371</v>
      </c>
      <c r="G49" s="54" t="s">
        <v>333</v>
      </c>
      <c r="H49" s="55" t="s">
        <v>372</v>
      </c>
      <c r="I49" s="54" t="s">
        <v>373</v>
      </c>
      <c r="J49" s="54" t="s">
        <v>374</v>
      </c>
      <c r="K49" s="54" t="s">
        <v>375</v>
      </c>
      <c r="L49" s="56" t="n">
        <v>95</v>
      </c>
      <c r="M49" s="57" t="n">
        <v>6.5</v>
      </c>
      <c r="N49" s="40"/>
      <c r="O49" s="51" t="s">
        <v>99</v>
      </c>
    </row>
    <row r="50" customFormat="false" ht="48" hidden="false" customHeight="true" outlineLevel="0" collapsed="false">
      <c r="A50" s="51" t="s">
        <v>397</v>
      </c>
      <c r="B50" s="52" t="n">
        <v>46354</v>
      </c>
      <c r="C50" s="53" t="s">
        <v>110</v>
      </c>
      <c r="D50" s="54" t="s">
        <v>377</v>
      </c>
      <c r="E50" s="55" t="s">
        <v>378</v>
      </c>
      <c r="F50" s="54" t="s">
        <v>379</v>
      </c>
      <c r="G50" s="54" t="s">
        <v>333</v>
      </c>
      <c r="H50" s="55" t="s">
        <v>380</v>
      </c>
      <c r="I50" s="54" t="s">
        <v>381</v>
      </c>
      <c r="J50" s="54" t="s">
        <v>382</v>
      </c>
      <c r="K50" s="54" t="s">
        <v>383</v>
      </c>
      <c r="L50" s="56" t="n">
        <v>95</v>
      </c>
      <c r="M50" s="57" t="n">
        <v>6.5</v>
      </c>
      <c r="N50" s="40"/>
      <c r="O50" s="51" t="s">
        <v>99</v>
      </c>
    </row>
    <row r="51" customFormat="false" ht="48" hidden="false" customHeight="true" outlineLevel="0" collapsed="false">
      <c r="A51" s="41" t="s">
        <v>398</v>
      </c>
      <c r="B51" s="42" t="n">
        <v>46355</v>
      </c>
      <c r="C51" s="43" t="s">
        <v>120</v>
      </c>
      <c r="D51" s="44" t="s">
        <v>111</v>
      </c>
      <c r="E51" s="45" t="s">
        <v>399</v>
      </c>
      <c r="F51" s="44" t="s">
        <v>400</v>
      </c>
      <c r="G51" s="44" t="s">
        <v>171</v>
      </c>
      <c r="H51" s="45" t="s">
        <v>115</v>
      </c>
      <c r="I51" s="44" t="s">
        <v>401</v>
      </c>
      <c r="J51" s="44" t="s">
        <v>117</v>
      </c>
      <c r="K51" s="44" t="s">
        <v>402</v>
      </c>
      <c r="L51" s="46" t="n">
        <v>85</v>
      </c>
      <c r="M51" s="47" t="n">
        <v>6.5</v>
      </c>
      <c r="N51" s="40"/>
      <c r="O51" s="41" t="s">
        <v>99</v>
      </c>
    </row>
    <row r="52" customFormat="false" ht="48" hidden="false" customHeight="true" outlineLevel="0" collapsed="false">
      <c r="A52" s="51" t="s">
        <v>403</v>
      </c>
      <c r="B52" s="52" t="n">
        <v>46356</v>
      </c>
      <c r="C52" s="53" t="s">
        <v>130</v>
      </c>
      <c r="D52" s="54" t="s">
        <v>330</v>
      </c>
      <c r="E52" s="55" t="s">
        <v>331</v>
      </c>
      <c r="F52" s="54" t="s">
        <v>332</v>
      </c>
      <c r="G52" s="54" t="s">
        <v>333</v>
      </c>
      <c r="H52" s="55" t="s">
        <v>334</v>
      </c>
      <c r="I52" s="54" t="s">
        <v>335</v>
      </c>
      <c r="J52" s="54" t="s">
        <v>336</v>
      </c>
      <c r="K52" s="54" t="s">
        <v>337</v>
      </c>
      <c r="L52" s="56" t="n">
        <v>95</v>
      </c>
      <c r="M52" s="57" t="n">
        <v>6.5</v>
      </c>
      <c r="N52" s="40"/>
      <c r="O52" s="51" t="s">
        <v>99</v>
      </c>
    </row>
    <row r="53" customFormat="false" ht="48" hidden="false" customHeight="true" outlineLevel="0" collapsed="false">
      <c r="A53" s="51" t="s">
        <v>404</v>
      </c>
      <c r="B53" s="52" t="n">
        <v>46357</v>
      </c>
      <c r="C53" s="53" t="s">
        <v>134</v>
      </c>
      <c r="D53" s="54" t="s">
        <v>345</v>
      </c>
      <c r="E53" s="55" t="s">
        <v>346</v>
      </c>
      <c r="F53" s="54" t="s">
        <v>347</v>
      </c>
      <c r="G53" s="54" t="s">
        <v>333</v>
      </c>
      <c r="H53" s="55" t="s">
        <v>348</v>
      </c>
      <c r="I53" s="54" t="s">
        <v>349</v>
      </c>
      <c r="J53" s="54" t="s">
        <v>350</v>
      </c>
      <c r="K53" s="54" t="s">
        <v>351</v>
      </c>
      <c r="L53" s="56" t="n">
        <v>95</v>
      </c>
      <c r="M53" s="57" t="n">
        <v>6.5</v>
      </c>
      <c r="N53" s="40"/>
      <c r="O53" s="51" t="s">
        <v>99</v>
      </c>
    </row>
    <row r="54" customFormat="false" ht="48" hidden="false" customHeight="true" outlineLevel="0" collapsed="false">
      <c r="A54" s="51" t="s">
        <v>405</v>
      </c>
      <c r="B54" s="52" t="n">
        <v>46358</v>
      </c>
      <c r="C54" s="53" t="s">
        <v>138</v>
      </c>
      <c r="D54" s="54" t="s">
        <v>353</v>
      </c>
      <c r="E54" s="55" t="s">
        <v>354</v>
      </c>
      <c r="F54" s="54" t="s">
        <v>355</v>
      </c>
      <c r="G54" s="54" t="s">
        <v>333</v>
      </c>
      <c r="H54" s="55" t="s">
        <v>356</v>
      </c>
      <c r="I54" s="54" t="s">
        <v>357</v>
      </c>
      <c r="J54" s="54" t="s">
        <v>358</v>
      </c>
      <c r="K54" s="54" t="s">
        <v>359</v>
      </c>
      <c r="L54" s="56" t="n">
        <v>95</v>
      </c>
      <c r="M54" s="57" t="n">
        <v>6.5</v>
      </c>
      <c r="N54" s="40"/>
      <c r="O54" s="51" t="s">
        <v>99</v>
      </c>
    </row>
    <row r="55" customFormat="false" ht="48" hidden="false" customHeight="true" outlineLevel="0" collapsed="false">
      <c r="A55" s="51" t="s">
        <v>406</v>
      </c>
      <c r="B55" s="52" t="n">
        <v>46359</v>
      </c>
      <c r="C55" s="53" t="s">
        <v>90</v>
      </c>
      <c r="D55" s="54" t="s">
        <v>361</v>
      </c>
      <c r="E55" s="55" t="s">
        <v>362</v>
      </c>
      <c r="F55" s="54" t="s">
        <v>363</v>
      </c>
      <c r="G55" s="54" t="s">
        <v>333</v>
      </c>
      <c r="H55" s="55" t="s">
        <v>364</v>
      </c>
      <c r="I55" s="54" t="s">
        <v>365</v>
      </c>
      <c r="J55" s="54" t="s">
        <v>366</v>
      </c>
      <c r="K55" s="54" t="s">
        <v>367</v>
      </c>
      <c r="L55" s="56" t="n">
        <v>95</v>
      </c>
      <c r="M55" s="57" t="n">
        <v>6.5</v>
      </c>
      <c r="N55" s="40"/>
      <c r="O55" s="51" t="s">
        <v>99</v>
      </c>
    </row>
    <row r="56" customFormat="false" ht="48" hidden="false" customHeight="true" outlineLevel="0" collapsed="false">
      <c r="A56" s="51" t="s">
        <v>407</v>
      </c>
      <c r="B56" s="52" t="n">
        <v>46360</v>
      </c>
      <c r="C56" s="53" t="s">
        <v>101</v>
      </c>
      <c r="D56" s="54" t="s">
        <v>369</v>
      </c>
      <c r="E56" s="55" t="s">
        <v>370</v>
      </c>
      <c r="F56" s="54" t="s">
        <v>371</v>
      </c>
      <c r="G56" s="54" t="s">
        <v>333</v>
      </c>
      <c r="H56" s="55" t="s">
        <v>372</v>
      </c>
      <c r="I56" s="54" t="s">
        <v>373</v>
      </c>
      <c r="J56" s="54" t="s">
        <v>374</v>
      </c>
      <c r="K56" s="54" t="s">
        <v>375</v>
      </c>
      <c r="L56" s="56" t="n">
        <v>95</v>
      </c>
      <c r="M56" s="57" t="n">
        <v>6.5</v>
      </c>
      <c r="N56" s="40"/>
      <c r="O56" s="51" t="s">
        <v>99</v>
      </c>
    </row>
    <row r="57" customFormat="false" ht="48" hidden="false" customHeight="true" outlineLevel="0" collapsed="false">
      <c r="A57" s="51" t="s">
        <v>408</v>
      </c>
      <c r="B57" s="52" t="n">
        <v>46361</v>
      </c>
      <c r="C57" s="53" t="s">
        <v>110</v>
      </c>
      <c r="D57" s="54" t="s">
        <v>377</v>
      </c>
      <c r="E57" s="55" t="s">
        <v>378</v>
      </c>
      <c r="F57" s="54" t="s">
        <v>379</v>
      </c>
      <c r="G57" s="54" t="s">
        <v>333</v>
      </c>
      <c r="H57" s="55" t="s">
        <v>380</v>
      </c>
      <c r="I57" s="54" t="s">
        <v>381</v>
      </c>
      <c r="J57" s="54" t="s">
        <v>382</v>
      </c>
      <c r="K57" s="54" t="s">
        <v>383</v>
      </c>
      <c r="L57" s="56" t="n">
        <v>95</v>
      </c>
      <c r="M57" s="57" t="n">
        <v>6.5</v>
      </c>
      <c r="N57" s="40"/>
      <c r="O57" s="51" t="s">
        <v>99</v>
      </c>
    </row>
    <row r="58" customFormat="false" ht="48" hidden="false" customHeight="true" outlineLevel="0" collapsed="false">
      <c r="A58" s="41" t="s">
        <v>409</v>
      </c>
      <c r="B58" s="42" t="n">
        <v>46362</v>
      </c>
      <c r="C58" s="43" t="s">
        <v>120</v>
      </c>
      <c r="D58" s="44" t="s">
        <v>111</v>
      </c>
      <c r="E58" s="45" t="s">
        <v>410</v>
      </c>
      <c r="F58" s="44" t="s">
        <v>411</v>
      </c>
      <c r="G58" s="44" t="s">
        <v>171</v>
      </c>
      <c r="H58" s="45" t="s">
        <v>115</v>
      </c>
      <c r="I58" s="44" t="s">
        <v>412</v>
      </c>
      <c r="J58" s="44" t="s">
        <v>117</v>
      </c>
      <c r="K58" s="44" t="s">
        <v>413</v>
      </c>
      <c r="L58" s="46" t="n">
        <v>85</v>
      </c>
      <c r="M58" s="47" t="n">
        <v>6.5</v>
      </c>
      <c r="N58" s="40"/>
      <c r="O58" s="41" t="s">
        <v>99</v>
      </c>
    </row>
    <row r="59" customFormat="false" ht="48" hidden="false" customHeight="true" outlineLevel="0" collapsed="false">
      <c r="A59" s="51" t="s">
        <v>414</v>
      </c>
      <c r="B59" s="52" t="n">
        <v>46363</v>
      </c>
      <c r="C59" s="53" t="s">
        <v>130</v>
      </c>
      <c r="D59" s="54" t="s">
        <v>330</v>
      </c>
      <c r="E59" s="55" t="s">
        <v>331</v>
      </c>
      <c r="F59" s="54" t="s">
        <v>332</v>
      </c>
      <c r="G59" s="54" t="s">
        <v>333</v>
      </c>
      <c r="H59" s="55" t="s">
        <v>334</v>
      </c>
      <c r="I59" s="54" t="s">
        <v>335</v>
      </c>
      <c r="J59" s="54" t="s">
        <v>336</v>
      </c>
      <c r="K59" s="54" t="s">
        <v>337</v>
      </c>
      <c r="L59" s="56" t="n">
        <v>95</v>
      </c>
      <c r="M59" s="57" t="n">
        <v>6.5</v>
      </c>
      <c r="N59" s="40"/>
      <c r="O59" s="51" t="s">
        <v>99</v>
      </c>
    </row>
    <row r="60" customFormat="false" ht="48" hidden="false" customHeight="true" outlineLevel="0" collapsed="false">
      <c r="A60" s="51" t="s">
        <v>415</v>
      </c>
      <c r="B60" s="52" t="n">
        <v>46364</v>
      </c>
      <c r="C60" s="53" t="s">
        <v>134</v>
      </c>
      <c r="D60" s="54" t="s">
        <v>345</v>
      </c>
      <c r="E60" s="55" t="s">
        <v>346</v>
      </c>
      <c r="F60" s="54" t="s">
        <v>347</v>
      </c>
      <c r="G60" s="54" t="s">
        <v>333</v>
      </c>
      <c r="H60" s="55" t="s">
        <v>348</v>
      </c>
      <c r="I60" s="54" t="s">
        <v>349</v>
      </c>
      <c r="J60" s="54" t="s">
        <v>350</v>
      </c>
      <c r="K60" s="54" t="s">
        <v>351</v>
      </c>
      <c r="L60" s="56" t="n">
        <v>95</v>
      </c>
      <c r="M60" s="57" t="n">
        <v>6.5</v>
      </c>
      <c r="N60" s="40"/>
      <c r="O60" s="51" t="s">
        <v>99</v>
      </c>
    </row>
    <row r="61" customFormat="false" ht="48" hidden="false" customHeight="true" outlineLevel="0" collapsed="false">
      <c r="A61" s="51" t="s">
        <v>416</v>
      </c>
      <c r="B61" s="52" t="n">
        <v>46365</v>
      </c>
      <c r="C61" s="53" t="s">
        <v>138</v>
      </c>
      <c r="D61" s="54" t="s">
        <v>353</v>
      </c>
      <c r="E61" s="55" t="s">
        <v>354</v>
      </c>
      <c r="F61" s="54" t="s">
        <v>355</v>
      </c>
      <c r="G61" s="54" t="s">
        <v>333</v>
      </c>
      <c r="H61" s="55" t="s">
        <v>356</v>
      </c>
      <c r="I61" s="54" t="s">
        <v>357</v>
      </c>
      <c r="J61" s="54" t="s">
        <v>358</v>
      </c>
      <c r="K61" s="54" t="s">
        <v>359</v>
      </c>
      <c r="L61" s="56" t="n">
        <v>95</v>
      </c>
      <c r="M61" s="57" t="n">
        <v>6.5</v>
      </c>
      <c r="N61" s="40"/>
      <c r="O61" s="51" t="s">
        <v>99</v>
      </c>
    </row>
    <row r="62" customFormat="false" ht="48" hidden="false" customHeight="true" outlineLevel="0" collapsed="false">
      <c r="A62" s="51" t="s">
        <v>417</v>
      </c>
      <c r="B62" s="52" t="n">
        <v>46366</v>
      </c>
      <c r="C62" s="53" t="s">
        <v>90</v>
      </c>
      <c r="D62" s="54" t="s">
        <v>361</v>
      </c>
      <c r="E62" s="55" t="s">
        <v>362</v>
      </c>
      <c r="F62" s="54" t="s">
        <v>363</v>
      </c>
      <c r="G62" s="54" t="s">
        <v>333</v>
      </c>
      <c r="H62" s="55" t="s">
        <v>364</v>
      </c>
      <c r="I62" s="54" t="s">
        <v>365</v>
      </c>
      <c r="J62" s="54" t="s">
        <v>366</v>
      </c>
      <c r="K62" s="54" t="s">
        <v>367</v>
      </c>
      <c r="L62" s="56" t="n">
        <v>95</v>
      </c>
      <c r="M62" s="57" t="n">
        <v>6.5</v>
      </c>
      <c r="N62" s="40"/>
      <c r="O62" s="51" t="s">
        <v>99</v>
      </c>
    </row>
    <row r="63" customFormat="false" ht="48" hidden="false" customHeight="true" outlineLevel="0" collapsed="false">
      <c r="A63" s="51" t="s">
        <v>418</v>
      </c>
      <c r="B63" s="52" t="n">
        <v>46367</v>
      </c>
      <c r="C63" s="53" t="s">
        <v>101</v>
      </c>
      <c r="D63" s="54" t="s">
        <v>369</v>
      </c>
      <c r="E63" s="55" t="s">
        <v>370</v>
      </c>
      <c r="F63" s="54" t="s">
        <v>371</v>
      </c>
      <c r="G63" s="54" t="s">
        <v>333</v>
      </c>
      <c r="H63" s="55" t="s">
        <v>372</v>
      </c>
      <c r="I63" s="54" t="s">
        <v>373</v>
      </c>
      <c r="J63" s="54" t="s">
        <v>374</v>
      </c>
      <c r="K63" s="54" t="s">
        <v>375</v>
      </c>
      <c r="L63" s="56" t="n">
        <v>95</v>
      </c>
      <c r="M63" s="57" t="n">
        <v>6.5</v>
      </c>
      <c r="N63" s="40"/>
      <c r="O63" s="51" t="s">
        <v>99</v>
      </c>
    </row>
    <row r="64" customFormat="false" ht="48" hidden="false" customHeight="true" outlineLevel="0" collapsed="false">
      <c r="A64" s="51" t="s">
        <v>419</v>
      </c>
      <c r="B64" s="52" t="n">
        <v>46368</v>
      </c>
      <c r="C64" s="53" t="s">
        <v>110</v>
      </c>
      <c r="D64" s="54" t="s">
        <v>377</v>
      </c>
      <c r="E64" s="55" t="s">
        <v>378</v>
      </c>
      <c r="F64" s="54" t="s">
        <v>379</v>
      </c>
      <c r="G64" s="54" t="s">
        <v>333</v>
      </c>
      <c r="H64" s="55" t="s">
        <v>380</v>
      </c>
      <c r="I64" s="54" t="s">
        <v>381</v>
      </c>
      <c r="J64" s="54" t="s">
        <v>382</v>
      </c>
      <c r="K64" s="54" t="s">
        <v>383</v>
      </c>
      <c r="L64" s="56" t="n">
        <v>95</v>
      </c>
      <c r="M64" s="57" t="n">
        <v>6.5</v>
      </c>
      <c r="N64" s="40"/>
      <c r="O64" s="51" t="s">
        <v>99</v>
      </c>
    </row>
    <row r="65" customFormat="false" ht="48" hidden="false" customHeight="true" outlineLevel="0" collapsed="false">
      <c r="A65" s="41" t="s">
        <v>420</v>
      </c>
      <c r="B65" s="42" t="n">
        <v>46369</v>
      </c>
      <c r="C65" s="43" t="s">
        <v>120</v>
      </c>
      <c r="D65" s="44" t="s">
        <v>111</v>
      </c>
      <c r="E65" s="45" t="s">
        <v>421</v>
      </c>
      <c r="F65" s="44" t="s">
        <v>422</v>
      </c>
      <c r="G65" s="44" t="s">
        <v>171</v>
      </c>
      <c r="H65" s="45" t="s">
        <v>115</v>
      </c>
      <c r="I65" s="44" t="s">
        <v>423</v>
      </c>
      <c r="J65" s="44" t="s">
        <v>117</v>
      </c>
      <c r="K65" s="44" t="s">
        <v>424</v>
      </c>
      <c r="L65" s="46" t="n">
        <v>85</v>
      </c>
      <c r="M65" s="47" t="n">
        <v>6.5</v>
      </c>
      <c r="N65" s="40"/>
      <c r="O65" s="41" t="s">
        <v>99</v>
      </c>
    </row>
    <row r="66" customFormat="false" ht="48" hidden="false" customHeight="true" outlineLevel="0" collapsed="false">
      <c r="A66" s="51" t="s">
        <v>425</v>
      </c>
      <c r="B66" s="52" t="n">
        <v>46370</v>
      </c>
      <c r="C66" s="53" t="s">
        <v>130</v>
      </c>
      <c r="D66" s="54" t="s">
        <v>330</v>
      </c>
      <c r="E66" s="55" t="s">
        <v>331</v>
      </c>
      <c r="F66" s="54" t="s">
        <v>332</v>
      </c>
      <c r="G66" s="54" t="s">
        <v>333</v>
      </c>
      <c r="H66" s="55" t="s">
        <v>334</v>
      </c>
      <c r="I66" s="54" t="s">
        <v>335</v>
      </c>
      <c r="J66" s="54" t="s">
        <v>336</v>
      </c>
      <c r="K66" s="54" t="s">
        <v>337</v>
      </c>
      <c r="L66" s="56" t="n">
        <v>95</v>
      </c>
      <c r="M66" s="57" t="n">
        <v>6.5</v>
      </c>
      <c r="N66" s="40"/>
      <c r="O66" s="51" t="s">
        <v>99</v>
      </c>
    </row>
    <row r="67" customFormat="false" ht="48" hidden="false" customHeight="true" outlineLevel="0" collapsed="false">
      <c r="A67" s="51" t="s">
        <v>426</v>
      </c>
      <c r="B67" s="52" t="n">
        <v>46371</v>
      </c>
      <c r="C67" s="53" t="s">
        <v>134</v>
      </c>
      <c r="D67" s="54" t="s">
        <v>345</v>
      </c>
      <c r="E67" s="55" t="s">
        <v>346</v>
      </c>
      <c r="F67" s="54" t="s">
        <v>347</v>
      </c>
      <c r="G67" s="54" t="s">
        <v>333</v>
      </c>
      <c r="H67" s="55" t="s">
        <v>348</v>
      </c>
      <c r="I67" s="54" t="s">
        <v>349</v>
      </c>
      <c r="J67" s="54" t="s">
        <v>350</v>
      </c>
      <c r="K67" s="54" t="s">
        <v>351</v>
      </c>
      <c r="L67" s="56" t="n">
        <v>95</v>
      </c>
      <c r="M67" s="57" t="n">
        <v>6.5</v>
      </c>
      <c r="N67" s="40"/>
      <c r="O67" s="51" t="s">
        <v>99</v>
      </c>
    </row>
    <row r="68" customFormat="false" ht="48" hidden="false" customHeight="true" outlineLevel="0" collapsed="false">
      <c r="A68" s="51" t="s">
        <v>427</v>
      </c>
      <c r="B68" s="52" t="n">
        <v>46372</v>
      </c>
      <c r="C68" s="53" t="s">
        <v>138</v>
      </c>
      <c r="D68" s="54" t="s">
        <v>353</v>
      </c>
      <c r="E68" s="55" t="s">
        <v>354</v>
      </c>
      <c r="F68" s="54" t="s">
        <v>355</v>
      </c>
      <c r="G68" s="54" t="s">
        <v>333</v>
      </c>
      <c r="H68" s="55" t="s">
        <v>356</v>
      </c>
      <c r="I68" s="54" t="s">
        <v>357</v>
      </c>
      <c r="J68" s="54" t="s">
        <v>358</v>
      </c>
      <c r="K68" s="54" t="s">
        <v>359</v>
      </c>
      <c r="L68" s="56" t="n">
        <v>95</v>
      </c>
      <c r="M68" s="57" t="n">
        <v>6.5</v>
      </c>
      <c r="N68" s="40"/>
      <c r="O68" s="51" t="s">
        <v>99</v>
      </c>
    </row>
    <row r="69" customFormat="false" ht="48" hidden="false" customHeight="true" outlineLevel="0" collapsed="false">
      <c r="A69" s="51" t="s">
        <v>428</v>
      </c>
      <c r="B69" s="52" t="n">
        <v>46373</v>
      </c>
      <c r="C69" s="53" t="s">
        <v>90</v>
      </c>
      <c r="D69" s="54" t="s">
        <v>361</v>
      </c>
      <c r="E69" s="55" t="s">
        <v>362</v>
      </c>
      <c r="F69" s="54" t="s">
        <v>363</v>
      </c>
      <c r="G69" s="54" t="s">
        <v>333</v>
      </c>
      <c r="H69" s="55" t="s">
        <v>364</v>
      </c>
      <c r="I69" s="54" t="s">
        <v>365</v>
      </c>
      <c r="J69" s="54" t="s">
        <v>366</v>
      </c>
      <c r="K69" s="54" t="s">
        <v>367</v>
      </c>
      <c r="L69" s="56" t="n">
        <v>95</v>
      </c>
      <c r="M69" s="57" t="n">
        <v>6.5</v>
      </c>
      <c r="N69" s="40"/>
      <c r="O69" s="51" t="s">
        <v>99</v>
      </c>
    </row>
    <row r="70" customFormat="false" ht="48" hidden="false" customHeight="true" outlineLevel="0" collapsed="false">
      <c r="A70" s="51" t="s">
        <v>429</v>
      </c>
      <c r="B70" s="52" t="n">
        <v>46374</v>
      </c>
      <c r="C70" s="53" t="s">
        <v>101</v>
      </c>
      <c r="D70" s="54" t="s">
        <v>369</v>
      </c>
      <c r="E70" s="55" t="s">
        <v>370</v>
      </c>
      <c r="F70" s="54" t="s">
        <v>371</v>
      </c>
      <c r="G70" s="54" t="s">
        <v>333</v>
      </c>
      <c r="H70" s="55" t="s">
        <v>372</v>
      </c>
      <c r="I70" s="54" t="s">
        <v>373</v>
      </c>
      <c r="J70" s="54" t="s">
        <v>374</v>
      </c>
      <c r="K70" s="54" t="s">
        <v>375</v>
      </c>
      <c r="L70" s="56" t="n">
        <v>95</v>
      </c>
      <c r="M70" s="57" t="n">
        <v>6.5</v>
      </c>
      <c r="N70" s="40"/>
      <c r="O70" s="51" t="s">
        <v>99</v>
      </c>
    </row>
    <row r="71" customFormat="false" ht="48" hidden="false" customHeight="true" outlineLevel="0" collapsed="false">
      <c r="A71" s="51" t="s">
        <v>430</v>
      </c>
      <c r="B71" s="52" t="n">
        <v>46375</v>
      </c>
      <c r="C71" s="53" t="s">
        <v>110</v>
      </c>
      <c r="D71" s="54" t="s">
        <v>377</v>
      </c>
      <c r="E71" s="55" t="s">
        <v>378</v>
      </c>
      <c r="F71" s="54" t="s">
        <v>379</v>
      </c>
      <c r="G71" s="54" t="s">
        <v>333</v>
      </c>
      <c r="H71" s="55" t="s">
        <v>380</v>
      </c>
      <c r="I71" s="54" t="s">
        <v>381</v>
      </c>
      <c r="J71" s="54" t="s">
        <v>382</v>
      </c>
      <c r="K71" s="54" t="s">
        <v>383</v>
      </c>
      <c r="L71" s="56" t="n">
        <v>95</v>
      </c>
      <c r="M71" s="57" t="n">
        <v>6.5</v>
      </c>
      <c r="N71" s="40"/>
      <c r="O71" s="51" t="s">
        <v>99</v>
      </c>
    </row>
    <row r="72" customFormat="false" ht="48" hidden="false" customHeight="true" outlineLevel="0" collapsed="false">
      <c r="A72" s="41" t="s">
        <v>431</v>
      </c>
      <c r="B72" s="42" t="n">
        <v>46376</v>
      </c>
      <c r="C72" s="43" t="s">
        <v>120</v>
      </c>
      <c r="D72" s="44" t="s">
        <v>111</v>
      </c>
      <c r="E72" s="45" t="s">
        <v>432</v>
      </c>
      <c r="F72" s="44" t="s">
        <v>433</v>
      </c>
      <c r="G72" s="44" t="s">
        <v>171</v>
      </c>
      <c r="H72" s="45" t="s">
        <v>115</v>
      </c>
      <c r="I72" s="44" t="s">
        <v>434</v>
      </c>
      <c r="J72" s="44" t="s">
        <v>117</v>
      </c>
      <c r="K72" s="44" t="s">
        <v>435</v>
      </c>
      <c r="L72" s="46" t="n">
        <v>85</v>
      </c>
      <c r="M72" s="47" t="n">
        <v>6.5</v>
      </c>
      <c r="N72" s="40"/>
      <c r="O72" s="41" t="s">
        <v>99</v>
      </c>
    </row>
    <row r="73" customFormat="false" ht="48" hidden="false" customHeight="true" outlineLevel="0" collapsed="false">
      <c r="A73" s="58" t="s">
        <v>436</v>
      </c>
      <c r="B73" s="59" t="n">
        <v>46377</v>
      </c>
      <c r="C73" s="60" t="s">
        <v>130</v>
      </c>
      <c r="D73" s="61" t="s">
        <v>437</v>
      </c>
      <c r="E73" s="62" t="s">
        <v>438</v>
      </c>
      <c r="F73" s="61" t="s">
        <v>439</v>
      </c>
      <c r="G73" s="61" t="s">
        <v>440</v>
      </c>
      <c r="H73" s="62" t="s">
        <v>441</v>
      </c>
      <c r="I73" s="61" t="s">
        <v>442</v>
      </c>
      <c r="J73" s="61" t="s">
        <v>443</v>
      </c>
      <c r="K73" s="61" t="s">
        <v>444</v>
      </c>
      <c r="L73" s="63" t="n">
        <v>95</v>
      </c>
      <c r="M73" s="64" t="n">
        <v>6.5</v>
      </c>
      <c r="N73" s="40"/>
      <c r="O73" s="58" t="s">
        <v>99</v>
      </c>
    </row>
    <row r="74" customFormat="false" ht="48" hidden="false" customHeight="true" outlineLevel="0" collapsed="false">
      <c r="A74" s="58" t="s">
        <v>445</v>
      </c>
      <c r="B74" s="59" t="n">
        <v>46378</v>
      </c>
      <c r="C74" s="60" t="s">
        <v>134</v>
      </c>
      <c r="D74" s="61" t="s">
        <v>437</v>
      </c>
      <c r="E74" s="62" t="s">
        <v>446</v>
      </c>
      <c r="F74" s="61" t="s">
        <v>447</v>
      </c>
      <c r="G74" s="61" t="s">
        <v>448</v>
      </c>
      <c r="H74" s="62" t="s">
        <v>449</v>
      </c>
      <c r="I74" s="61" t="s">
        <v>349</v>
      </c>
      <c r="J74" s="61" t="s">
        <v>350</v>
      </c>
      <c r="K74" s="61" t="s">
        <v>351</v>
      </c>
      <c r="L74" s="63" t="n">
        <v>110</v>
      </c>
      <c r="M74" s="64" t="n">
        <v>6.5</v>
      </c>
      <c r="N74" s="40"/>
      <c r="O74" s="58" t="s">
        <v>99</v>
      </c>
    </row>
    <row r="75" customFormat="false" ht="48" hidden="false" customHeight="true" outlineLevel="0" collapsed="false">
      <c r="A75" s="58" t="s">
        <v>450</v>
      </c>
      <c r="B75" s="59" t="n">
        <v>46379</v>
      </c>
      <c r="C75" s="60" t="s">
        <v>138</v>
      </c>
      <c r="D75" s="61" t="s">
        <v>437</v>
      </c>
      <c r="E75" s="62" t="s">
        <v>451</v>
      </c>
      <c r="F75" s="61" t="s">
        <v>452</v>
      </c>
      <c r="G75" s="61" t="s">
        <v>440</v>
      </c>
      <c r="H75" s="62" t="s">
        <v>453</v>
      </c>
      <c r="I75" s="61" t="s">
        <v>454</v>
      </c>
      <c r="J75" s="61" t="s">
        <v>443</v>
      </c>
      <c r="K75" s="61" t="s">
        <v>455</v>
      </c>
      <c r="L75" s="63" t="n">
        <v>95</v>
      </c>
      <c r="M75" s="64" t="n">
        <v>6.5</v>
      </c>
      <c r="N75" s="40"/>
      <c r="O75" s="58" t="s">
        <v>99</v>
      </c>
    </row>
    <row r="76" customFormat="false" ht="48" hidden="false" customHeight="true" outlineLevel="0" collapsed="false">
      <c r="A76" s="58" t="s">
        <v>456</v>
      </c>
      <c r="B76" s="59" t="n">
        <v>46380</v>
      </c>
      <c r="C76" s="60" t="s">
        <v>90</v>
      </c>
      <c r="D76" s="61" t="s">
        <v>437</v>
      </c>
      <c r="E76" s="62" t="s">
        <v>446</v>
      </c>
      <c r="F76" s="61" t="s">
        <v>457</v>
      </c>
      <c r="G76" s="61" t="s">
        <v>448</v>
      </c>
      <c r="H76" s="62" t="s">
        <v>458</v>
      </c>
      <c r="I76" s="61" t="s">
        <v>365</v>
      </c>
      <c r="J76" s="61" t="s">
        <v>366</v>
      </c>
      <c r="K76" s="61" t="s">
        <v>367</v>
      </c>
      <c r="L76" s="63" t="n">
        <v>110</v>
      </c>
      <c r="M76" s="64" t="n">
        <v>6.5</v>
      </c>
      <c r="N76" s="40"/>
      <c r="O76" s="58" t="s">
        <v>99</v>
      </c>
    </row>
    <row r="77" customFormat="false" ht="24" hidden="false" customHeight="true" outlineLevel="0" collapsed="false">
      <c r="A77" s="48" t="s">
        <v>459</v>
      </c>
      <c r="B77" s="49" t="n">
        <v>46381</v>
      </c>
      <c r="C77" s="25" t="s">
        <v>101</v>
      </c>
      <c r="D77" s="26" t="s">
        <v>121</v>
      </c>
      <c r="E77" s="21" t="s">
        <v>460</v>
      </c>
      <c r="F77" s="26" t="s">
        <v>461</v>
      </c>
      <c r="G77" s="26" t="s">
        <v>124</v>
      </c>
      <c r="H77" s="21" t="s">
        <v>125</v>
      </c>
      <c r="I77" s="26" t="s">
        <v>126</v>
      </c>
      <c r="J77" s="26" t="s">
        <v>125</v>
      </c>
      <c r="K77" s="26" t="s">
        <v>127</v>
      </c>
      <c r="L77" s="23" t="n">
        <v>0</v>
      </c>
      <c r="M77" s="50" t="n">
        <v>0</v>
      </c>
      <c r="N77" s="40"/>
      <c r="O77" s="48" t="s">
        <v>128</v>
      </c>
    </row>
    <row r="78" customFormat="false" ht="48" hidden="false" customHeight="true" outlineLevel="0" collapsed="false">
      <c r="A78" s="58" t="s">
        <v>462</v>
      </c>
      <c r="B78" s="59" t="n">
        <v>46382</v>
      </c>
      <c r="C78" s="60" t="s">
        <v>110</v>
      </c>
      <c r="D78" s="61" t="s">
        <v>437</v>
      </c>
      <c r="E78" s="62" t="s">
        <v>463</v>
      </c>
      <c r="F78" s="61" t="s">
        <v>464</v>
      </c>
      <c r="G78" s="61" t="s">
        <v>440</v>
      </c>
      <c r="H78" s="62" t="s">
        <v>465</v>
      </c>
      <c r="I78" s="61" t="s">
        <v>466</v>
      </c>
      <c r="J78" s="61" t="s">
        <v>443</v>
      </c>
      <c r="K78" s="61" t="s">
        <v>467</v>
      </c>
      <c r="L78" s="63" t="n">
        <v>95</v>
      </c>
      <c r="M78" s="64" t="n">
        <v>6.5</v>
      </c>
      <c r="N78" s="40"/>
      <c r="O78" s="58" t="s">
        <v>99</v>
      </c>
    </row>
    <row r="79" customFormat="false" ht="48" hidden="false" customHeight="true" outlineLevel="0" collapsed="false">
      <c r="A79" s="41" t="s">
        <v>468</v>
      </c>
      <c r="B79" s="42" t="n">
        <v>46383</v>
      </c>
      <c r="C79" s="43" t="s">
        <v>120</v>
      </c>
      <c r="D79" s="44" t="s">
        <v>111</v>
      </c>
      <c r="E79" s="45" t="s">
        <v>469</v>
      </c>
      <c r="F79" s="44" t="s">
        <v>470</v>
      </c>
      <c r="G79" s="44" t="s">
        <v>171</v>
      </c>
      <c r="H79" s="45" t="s">
        <v>115</v>
      </c>
      <c r="I79" s="44" t="s">
        <v>471</v>
      </c>
      <c r="J79" s="44" t="s">
        <v>117</v>
      </c>
      <c r="K79" s="44" t="s">
        <v>472</v>
      </c>
      <c r="L79" s="46" t="n">
        <v>85</v>
      </c>
      <c r="M79" s="47" t="n">
        <v>6.5</v>
      </c>
      <c r="N79" s="40"/>
      <c r="O79" s="41" t="s">
        <v>99</v>
      </c>
    </row>
    <row r="80" customFormat="false" ht="48" hidden="false" customHeight="true" outlineLevel="0" collapsed="false">
      <c r="A80" s="58" t="s">
        <v>473</v>
      </c>
      <c r="B80" s="59" t="n">
        <v>46384</v>
      </c>
      <c r="C80" s="60" t="s">
        <v>130</v>
      </c>
      <c r="D80" s="61" t="s">
        <v>437</v>
      </c>
      <c r="E80" s="62" t="s">
        <v>446</v>
      </c>
      <c r="F80" s="61" t="s">
        <v>474</v>
      </c>
      <c r="G80" s="61" t="s">
        <v>448</v>
      </c>
      <c r="H80" s="62" t="s">
        <v>475</v>
      </c>
      <c r="I80" s="61" t="s">
        <v>381</v>
      </c>
      <c r="J80" s="61" t="s">
        <v>382</v>
      </c>
      <c r="K80" s="61" t="s">
        <v>383</v>
      </c>
      <c r="L80" s="63" t="n">
        <v>110</v>
      </c>
      <c r="M80" s="64" t="n">
        <v>6.5</v>
      </c>
      <c r="N80" s="40"/>
      <c r="O80" s="58" t="s">
        <v>99</v>
      </c>
    </row>
    <row r="81" customFormat="false" ht="48" hidden="false" customHeight="true" outlineLevel="0" collapsed="false">
      <c r="A81" s="58" t="s">
        <v>476</v>
      </c>
      <c r="B81" s="59" t="n">
        <v>46385</v>
      </c>
      <c r="C81" s="60" t="s">
        <v>134</v>
      </c>
      <c r="D81" s="61" t="s">
        <v>437</v>
      </c>
      <c r="E81" s="62" t="s">
        <v>477</v>
      </c>
      <c r="F81" s="61" t="s">
        <v>478</v>
      </c>
      <c r="G81" s="61" t="s">
        <v>440</v>
      </c>
      <c r="H81" s="62" t="s">
        <v>479</v>
      </c>
      <c r="I81" s="61" t="s">
        <v>480</v>
      </c>
      <c r="J81" s="61" t="s">
        <v>443</v>
      </c>
      <c r="K81" s="61" t="s">
        <v>444</v>
      </c>
      <c r="L81" s="63" t="n">
        <v>95</v>
      </c>
      <c r="M81" s="64" t="n">
        <v>6.5</v>
      </c>
      <c r="N81" s="40"/>
      <c r="O81" s="58" t="s">
        <v>99</v>
      </c>
    </row>
    <row r="82" customFormat="false" ht="48" hidden="false" customHeight="true" outlineLevel="0" collapsed="false">
      <c r="A82" s="58" t="s">
        <v>481</v>
      </c>
      <c r="B82" s="59" t="n">
        <v>46386</v>
      </c>
      <c r="C82" s="60" t="s">
        <v>138</v>
      </c>
      <c r="D82" s="61" t="s">
        <v>437</v>
      </c>
      <c r="E82" s="62" t="s">
        <v>446</v>
      </c>
      <c r="F82" s="61" t="s">
        <v>447</v>
      </c>
      <c r="G82" s="61" t="s">
        <v>448</v>
      </c>
      <c r="H82" s="62" t="s">
        <v>449</v>
      </c>
      <c r="I82" s="61" t="s">
        <v>349</v>
      </c>
      <c r="J82" s="61" t="s">
        <v>350</v>
      </c>
      <c r="K82" s="61" t="s">
        <v>351</v>
      </c>
      <c r="L82" s="63" t="n">
        <v>110</v>
      </c>
      <c r="M82" s="64" t="n">
        <v>6.5</v>
      </c>
      <c r="N82" s="40"/>
      <c r="O82" s="58" t="s">
        <v>99</v>
      </c>
    </row>
    <row r="83" customFormat="false" ht="48" hidden="false" customHeight="true" outlineLevel="0" collapsed="false">
      <c r="A83" s="58" t="s">
        <v>482</v>
      </c>
      <c r="B83" s="59" t="n">
        <v>46387</v>
      </c>
      <c r="C83" s="60" t="s">
        <v>90</v>
      </c>
      <c r="D83" s="61" t="s">
        <v>437</v>
      </c>
      <c r="E83" s="62" t="s">
        <v>483</v>
      </c>
      <c r="F83" s="61" t="s">
        <v>484</v>
      </c>
      <c r="G83" s="61" t="s">
        <v>440</v>
      </c>
      <c r="H83" s="62" t="s">
        <v>485</v>
      </c>
      <c r="I83" s="61" t="s">
        <v>486</v>
      </c>
      <c r="J83" s="61" t="s">
        <v>443</v>
      </c>
      <c r="K83" s="61" t="s">
        <v>455</v>
      </c>
      <c r="L83" s="63" t="n">
        <v>95</v>
      </c>
      <c r="M83" s="64" t="n">
        <v>6.5</v>
      </c>
      <c r="N83" s="40"/>
      <c r="O83" s="58" t="s">
        <v>99</v>
      </c>
    </row>
    <row r="84" customFormat="false" ht="24" hidden="false" customHeight="true" outlineLevel="0" collapsed="false">
      <c r="A84" s="48" t="s">
        <v>487</v>
      </c>
      <c r="B84" s="49" t="n">
        <v>46388</v>
      </c>
      <c r="C84" s="25" t="s">
        <v>101</v>
      </c>
      <c r="D84" s="26" t="s">
        <v>121</v>
      </c>
      <c r="E84" s="21" t="s">
        <v>488</v>
      </c>
      <c r="F84" s="26" t="s">
        <v>489</v>
      </c>
      <c r="G84" s="26" t="s">
        <v>124</v>
      </c>
      <c r="H84" s="21" t="s">
        <v>125</v>
      </c>
      <c r="I84" s="26" t="s">
        <v>126</v>
      </c>
      <c r="J84" s="26" t="s">
        <v>125</v>
      </c>
      <c r="K84" s="26" t="s">
        <v>127</v>
      </c>
      <c r="L84" s="23" t="n">
        <v>0</v>
      </c>
      <c r="M84" s="50" t="n">
        <v>0</v>
      </c>
      <c r="N84" s="40"/>
      <c r="O84" s="48" t="s">
        <v>128</v>
      </c>
    </row>
    <row r="85" customFormat="false" ht="48" hidden="false" customHeight="true" outlineLevel="0" collapsed="false">
      <c r="A85" s="58" t="s">
        <v>490</v>
      </c>
      <c r="B85" s="59" t="n">
        <v>46389</v>
      </c>
      <c r="C85" s="60" t="s">
        <v>110</v>
      </c>
      <c r="D85" s="61" t="s">
        <v>437</v>
      </c>
      <c r="E85" s="62" t="s">
        <v>446</v>
      </c>
      <c r="F85" s="61" t="s">
        <v>457</v>
      </c>
      <c r="G85" s="61" t="s">
        <v>448</v>
      </c>
      <c r="H85" s="62" t="s">
        <v>458</v>
      </c>
      <c r="I85" s="61" t="s">
        <v>365</v>
      </c>
      <c r="J85" s="61" t="s">
        <v>366</v>
      </c>
      <c r="K85" s="61" t="s">
        <v>367</v>
      </c>
      <c r="L85" s="63" t="n">
        <v>110</v>
      </c>
      <c r="M85" s="64" t="n">
        <v>6.5</v>
      </c>
      <c r="N85" s="40"/>
      <c r="O85" s="58" t="s">
        <v>99</v>
      </c>
    </row>
    <row r="86" customFormat="false" ht="48" hidden="false" customHeight="true" outlineLevel="0" collapsed="false">
      <c r="A86" s="41" t="s">
        <v>491</v>
      </c>
      <c r="B86" s="42" t="n">
        <v>46390</v>
      </c>
      <c r="C86" s="43" t="s">
        <v>120</v>
      </c>
      <c r="D86" s="44" t="s">
        <v>111</v>
      </c>
      <c r="E86" s="45" t="s">
        <v>492</v>
      </c>
      <c r="F86" s="44" t="s">
        <v>493</v>
      </c>
      <c r="G86" s="44" t="s">
        <v>171</v>
      </c>
      <c r="H86" s="45" t="s">
        <v>115</v>
      </c>
      <c r="I86" s="44" t="s">
        <v>494</v>
      </c>
      <c r="J86" s="44" t="s">
        <v>117</v>
      </c>
      <c r="K86" s="44" t="s">
        <v>495</v>
      </c>
      <c r="L86" s="46" t="n">
        <v>85</v>
      </c>
      <c r="M86" s="47" t="n">
        <v>6.5</v>
      </c>
      <c r="N86" s="40"/>
      <c r="O86" s="41" t="s">
        <v>99</v>
      </c>
    </row>
    <row r="87" customFormat="false" ht="48" hidden="false" customHeight="true" outlineLevel="0" collapsed="false">
      <c r="A87" s="58" t="s">
        <v>496</v>
      </c>
      <c r="B87" s="59" t="n">
        <v>46391</v>
      </c>
      <c r="C87" s="60" t="s">
        <v>130</v>
      </c>
      <c r="D87" s="61" t="s">
        <v>437</v>
      </c>
      <c r="E87" s="62" t="s">
        <v>497</v>
      </c>
      <c r="F87" s="61" t="s">
        <v>498</v>
      </c>
      <c r="G87" s="61" t="s">
        <v>440</v>
      </c>
      <c r="H87" s="62" t="s">
        <v>499</v>
      </c>
      <c r="I87" s="61" t="s">
        <v>500</v>
      </c>
      <c r="J87" s="61" t="s">
        <v>443</v>
      </c>
      <c r="K87" s="61" t="s">
        <v>467</v>
      </c>
      <c r="L87" s="63" t="n">
        <v>95</v>
      </c>
      <c r="M87" s="64" t="n">
        <v>6.5</v>
      </c>
      <c r="N87" s="40"/>
      <c r="O87" s="58" t="s">
        <v>99</v>
      </c>
    </row>
    <row r="88" customFormat="false" ht="48" hidden="false" customHeight="true" outlineLevel="0" collapsed="false">
      <c r="A88" s="58" t="s">
        <v>501</v>
      </c>
      <c r="B88" s="59" t="n">
        <v>46392</v>
      </c>
      <c r="C88" s="60" t="s">
        <v>134</v>
      </c>
      <c r="D88" s="61" t="s">
        <v>437</v>
      </c>
      <c r="E88" s="62" t="s">
        <v>446</v>
      </c>
      <c r="F88" s="61" t="s">
        <v>474</v>
      </c>
      <c r="G88" s="61" t="s">
        <v>448</v>
      </c>
      <c r="H88" s="62" t="s">
        <v>475</v>
      </c>
      <c r="I88" s="61" t="s">
        <v>381</v>
      </c>
      <c r="J88" s="61" t="s">
        <v>382</v>
      </c>
      <c r="K88" s="61" t="s">
        <v>383</v>
      </c>
      <c r="L88" s="63" t="n">
        <v>110</v>
      </c>
      <c r="M88" s="64" t="n">
        <v>6.5</v>
      </c>
      <c r="N88" s="40"/>
      <c r="O88" s="58" t="s">
        <v>99</v>
      </c>
    </row>
    <row r="89" customFormat="false" ht="48" hidden="false" customHeight="true" outlineLevel="0" collapsed="false">
      <c r="A89" s="58" t="s">
        <v>502</v>
      </c>
      <c r="B89" s="59" t="n">
        <v>46393</v>
      </c>
      <c r="C89" s="60" t="s">
        <v>138</v>
      </c>
      <c r="D89" s="61" t="s">
        <v>437</v>
      </c>
      <c r="E89" s="62" t="s">
        <v>503</v>
      </c>
      <c r="F89" s="61" t="s">
        <v>504</v>
      </c>
      <c r="G89" s="61" t="s">
        <v>440</v>
      </c>
      <c r="H89" s="62" t="s">
        <v>505</v>
      </c>
      <c r="I89" s="61" t="s">
        <v>506</v>
      </c>
      <c r="J89" s="61" t="s">
        <v>443</v>
      </c>
      <c r="K89" s="61" t="s">
        <v>444</v>
      </c>
      <c r="L89" s="63" t="n">
        <v>95</v>
      </c>
      <c r="M89" s="64" t="n">
        <v>6.5</v>
      </c>
      <c r="N89" s="40"/>
      <c r="O89" s="58" t="s">
        <v>99</v>
      </c>
    </row>
    <row r="90" customFormat="false" ht="48" hidden="false" customHeight="true" outlineLevel="0" collapsed="false">
      <c r="A90" s="58" t="s">
        <v>507</v>
      </c>
      <c r="B90" s="59" t="n">
        <v>46394</v>
      </c>
      <c r="C90" s="60" t="s">
        <v>90</v>
      </c>
      <c r="D90" s="61" t="s">
        <v>437</v>
      </c>
      <c r="E90" s="62" t="s">
        <v>446</v>
      </c>
      <c r="F90" s="61" t="s">
        <v>447</v>
      </c>
      <c r="G90" s="61" t="s">
        <v>448</v>
      </c>
      <c r="H90" s="62" t="s">
        <v>449</v>
      </c>
      <c r="I90" s="61" t="s">
        <v>349</v>
      </c>
      <c r="J90" s="61" t="s">
        <v>350</v>
      </c>
      <c r="K90" s="61" t="s">
        <v>351</v>
      </c>
      <c r="L90" s="63" t="n">
        <v>110</v>
      </c>
      <c r="M90" s="64" t="n">
        <v>6.5</v>
      </c>
      <c r="N90" s="40"/>
      <c r="O90" s="58" t="s">
        <v>99</v>
      </c>
    </row>
    <row r="91" customFormat="false" ht="48" hidden="false" customHeight="true" outlineLevel="0" collapsed="false">
      <c r="A91" s="58" t="s">
        <v>508</v>
      </c>
      <c r="B91" s="59" t="n">
        <v>46395</v>
      </c>
      <c r="C91" s="60" t="s">
        <v>101</v>
      </c>
      <c r="D91" s="61" t="s">
        <v>437</v>
      </c>
      <c r="E91" s="62" t="s">
        <v>509</v>
      </c>
      <c r="F91" s="61" t="s">
        <v>510</v>
      </c>
      <c r="G91" s="61" t="s">
        <v>440</v>
      </c>
      <c r="H91" s="62" t="s">
        <v>511</v>
      </c>
      <c r="I91" s="61" t="s">
        <v>512</v>
      </c>
      <c r="J91" s="61" t="s">
        <v>443</v>
      </c>
      <c r="K91" s="61" t="s">
        <v>455</v>
      </c>
      <c r="L91" s="63" t="n">
        <v>95</v>
      </c>
      <c r="M91" s="64" t="n">
        <v>6.5</v>
      </c>
      <c r="N91" s="40"/>
      <c r="O91" s="58" t="s">
        <v>99</v>
      </c>
    </row>
    <row r="92" customFormat="false" ht="48" hidden="false" customHeight="true" outlineLevel="0" collapsed="false">
      <c r="A92" s="58" t="s">
        <v>513</v>
      </c>
      <c r="B92" s="59" t="n">
        <v>46396</v>
      </c>
      <c r="C92" s="60" t="s">
        <v>110</v>
      </c>
      <c r="D92" s="61" t="s">
        <v>437</v>
      </c>
      <c r="E92" s="62" t="s">
        <v>446</v>
      </c>
      <c r="F92" s="61" t="s">
        <v>457</v>
      </c>
      <c r="G92" s="61" t="s">
        <v>448</v>
      </c>
      <c r="H92" s="62" t="s">
        <v>458</v>
      </c>
      <c r="I92" s="61" t="s">
        <v>365</v>
      </c>
      <c r="J92" s="61" t="s">
        <v>366</v>
      </c>
      <c r="K92" s="61" t="s">
        <v>367</v>
      </c>
      <c r="L92" s="63" t="n">
        <v>110</v>
      </c>
      <c r="M92" s="64" t="n">
        <v>6.5</v>
      </c>
      <c r="N92" s="40"/>
      <c r="O92" s="58" t="s">
        <v>99</v>
      </c>
    </row>
    <row r="93" customFormat="false" ht="48" hidden="false" customHeight="true" outlineLevel="0" collapsed="false">
      <c r="A93" s="41" t="s">
        <v>514</v>
      </c>
      <c r="B93" s="42" t="n">
        <v>46397</v>
      </c>
      <c r="C93" s="43" t="s">
        <v>120</v>
      </c>
      <c r="D93" s="44" t="s">
        <v>111</v>
      </c>
      <c r="E93" s="45" t="s">
        <v>515</v>
      </c>
      <c r="F93" s="44" t="s">
        <v>516</v>
      </c>
      <c r="G93" s="44" t="s">
        <v>171</v>
      </c>
      <c r="H93" s="45" t="s">
        <v>115</v>
      </c>
      <c r="I93" s="44" t="s">
        <v>517</v>
      </c>
      <c r="J93" s="44" t="s">
        <v>117</v>
      </c>
      <c r="K93" s="44" t="s">
        <v>518</v>
      </c>
      <c r="L93" s="46" t="n">
        <v>85</v>
      </c>
      <c r="M93" s="47" t="n">
        <v>6.5</v>
      </c>
      <c r="N93" s="40"/>
      <c r="O93" s="41" t="s">
        <v>99</v>
      </c>
    </row>
    <row r="94" customFormat="false" ht="48" hidden="false" customHeight="true" outlineLevel="0" collapsed="false">
      <c r="A94" s="58" t="s">
        <v>519</v>
      </c>
      <c r="B94" s="59" t="n">
        <v>46398</v>
      </c>
      <c r="C94" s="60" t="s">
        <v>130</v>
      </c>
      <c r="D94" s="61" t="s">
        <v>437</v>
      </c>
      <c r="E94" s="62" t="s">
        <v>520</v>
      </c>
      <c r="F94" s="61" t="s">
        <v>521</v>
      </c>
      <c r="G94" s="61" t="s">
        <v>440</v>
      </c>
      <c r="H94" s="62" t="s">
        <v>522</v>
      </c>
      <c r="I94" s="61" t="s">
        <v>523</v>
      </c>
      <c r="J94" s="61" t="s">
        <v>443</v>
      </c>
      <c r="K94" s="61" t="s">
        <v>467</v>
      </c>
      <c r="L94" s="63" t="n">
        <v>95</v>
      </c>
      <c r="M94" s="64" t="n">
        <v>6.5</v>
      </c>
      <c r="N94" s="40"/>
      <c r="O94" s="58" t="s">
        <v>99</v>
      </c>
    </row>
    <row r="95" customFormat="false" ht="48" hidden="false" customHeight="true" outlineLevel="0" collapsed="false">
      <c r="A95" s="58" t="s">
        <v>524</v>
      </c>
      <c r="B95" s="59" t="n">
        <v>46399</v>
      </c>
      <c r="C95" s="60" t="s">
        <v>134</v>
      </c>
      <c r="D95" s="61" t="s">
        <v>437</v>
      </c>
      <c r="E95" s="62" t="s">
        <v>446</v>
      </c>
      <c r="F95" s="61" t="s">
        <v>474</v>
      </c>
      <c r="G95" s="61" t="s">
        <v>448</v>
      </c>
      <c r="H95" s="62" t="s">
        <v>475</v>
      </c>
      <c r="I95" s="61" t="s">
        <v>381</v>
      </c>
      <c r="J95" s="61" t="s">
        <v>382</v>
      </c>
      <c r="K95" s="61" t="s">
        <v>383</v>
      </c>
      <c r="L95" s="63" t="n">
        <v>110</v>
      </c>
      <c r="M95" s="64" t="n">
        <v>6.5</v>
      </c>
      <c r="N95" s="40"/>
      <c r="O95" s="58" t="s">
        <v>99</v>
      </c>
    </row>
    <row r="96" customFormat="false" ht="48" hidden="false" customHeight="true" outlineLevel="0" collapsed="false">
      <c r="A96" s="58" t="s">
        <v>525</v>
      </c>
      <c r="B96" s="59" t="n">
        <v>46400</v>
      </c>
      <c r="C96" s="60" t="s">
        <v>138</v>
      </c>
      <c r="D96" s="61" t="s">
        <v>437</v>
      </c>
      <c r="E96" s="62" t="s">
        <v>526</v>
      </c>
      <c r="F96" s="61" t="s">
        <v>527</v>
      </c>
      <c r="G96" s="61" t="s">
        <v>440</v>
      </c>
      <c r="H96" s="62" t="s">
        <v>528</v>
      </c>
      <c r="I96" s="61" t="s">
        <v>529</v>
      </c>
      <c r="J96" s="61" t="s">
        <v>443</v>
      </c>
      <c r="K96" s="61" t="s">
        <v>444</v>
      </c>
      <c r="L96" s="63" t="n">
        <v>95</v>
      </c>
      <c r="M96" s="64" t="n">
        <v>6.5</v>
      </c>
      <c r="N96" s="40"/>
      <c r="O96" s="58" t="s">
        <v>99</v>
      </c>
    </row>
    <row r="97" customFormat="false" ht="24" hidden="false" customHeight="true" outlineLevel="0" collapsed="false">
      <c r="A97" s="48" t="s">
        <v>530</v>
      </c>
      <c r="B97" s="49" t="n">
        <v>46401</v>
      </c>
      <c r="C97" s="25" t="s">
        <v>90</v>
      </c>
      <c r="D97" s="26" t="s">
        <v>121</v>
      </c>
      <c r="E97" s="21" t="s">
        <v>531</v>
      </c>
      <c r="F97" s="26" t="s">
        <v>532</v>
      </c>
      <c r="G97" s="26" t="s">
        <v>124</v>
      </c>
      <c r="H97" s="21" t="s">
        <v>125</v>
      </c>
      <c r="I97" s="26" t="s">
        <v>126</v>
      </c>
      <c r="J97" s="26" t="s">
        <v>125</v>
      </c>
      <c r="K97" s="26" t="s">
        <v>127</v>
      </c>
      <c r="L97" s="23" t="n">
        <v>0</v>
      </c>
      <c r="M97" s="50" t="n">
        <v>0</v>
      </c>
      <c r="N97" s="40"/>
      <c r="O97" s="48" t="s">
        <v>128</v>
      </c>
    </row>
    <row r="98" customFormat="false" ht="24" hidden="false" customHeight="true" outlineLevel="0" collapsed="false">
      <c r="A98" s="48" t="s">
        <v>533</v>
      </c>
      <c r="B98" s="49" t="n">
        <v>46402</v>
      </c>
      <c r="C98" s="25" t="s">
        <v>101</v>
      </c>
      <c r="D98" s="26" t="s">
        <v>121</v>
      </c>
      <c r="E98" s="21" t="s">
        <v>534</v>
      </c>
      <c r="F98" s="26" t="s">
        <v>532</v>
      </c>
      <c r="G98" s="26" t="s">
        <v>124</v>
      </c>
      <c r="H98" s="21" t="s">
        <v>125</v>
      </c>
      <c r="I98" s="26" t="s">
        <v>126</v>
      </c>
      <c r="J98" s="26" t="s">
        <v>125</v>
      </c>
      <c r="K98" s="26" t="s">
        <v>127</v>
      </c>
      <c r="L98" s="23" t="n">
        <v>0</v>
      </c>
      <c r="M98" s="50" t="n">
        <v>0</v>
      </c>
      <c r="N98" s="40"/>
      <c r="O98" s="48" t="s">
        <v>128</v>
      </c>
    </row>
    <row r="99" customFormat="false" ht="24" hidden="false" customHeight="true" outlineLevel="0" collapsed="false">
      <c r="A99" s="48" t="s">
        <v>535</v>
      </c>
      <c r="B99" s="49" t="n">
        <v>46403</v>
      </c>
      <c r="C99" s="25" t="s">
        <v>110</v>
      </c>
      <c r="D99" s="26" t="s">
        <v>121</v>
      </c>
      <c r="E99" s="21" t="s">
        <v>536</v>
      </c>
      <c r="F99" s="26" t="s">
        <v>532</v>
      </c>
      <c r="G99" s="26" t="s">
        <v>124</v>
      </c>
      <c r="H99" s="21" t="s">
        <v>125</v>
      </c>
      <c r="I99" s="26" t="s">
        <v>126</v>
      </c>
      <c r="J99" s="26" t="s">
        <v>125</v>
      </c>
      <c r="K99" s="26" t="s">
        <v>127</v>
      </c>
      <c r="L99" s="23" t="n">
        <v>0</v>
      </c>
      <c r="M99" s="50" t="n">
        <v>0</v>
      </c>
      <c r="N99" s="40"/>
      <c r="O99" s="48" t="s">
        <v>128</v>
      </c>
    </row>
    <row r="100" customFormat="false" ht="48" hidden="false" customHeight="true" outlineLevel="0" collapsed="false">
      <c r="A100" s="41" t="s">
        <v>537</v>
      </c>
      <c r="B100" s="42" t="n">
        <v>46404</v>
      </c>
      <c r="C100" s="43" t="s">
        <v>120</v>
      </c>
      <c r="D100" s="44" t="s">
        <v>111</v>
      </c>
      <c r="E100" s="45" t="s">
        <v>538</v>
      </c>
      <c r="F100" s="44" t="s">
        <v>539</v>
      </c>
      <c r="G100" s="44" t="s">
        <v>171</v>
      </c>
      <c r="H100" s="45" t="s">
        <v>115</v>
      </c>
      <c r="I100" s="44" t="s">
        <v>540</v>
      </c>
      <c r="J100" s="44" t="s">
        <v>117</v>
      </c>
      <c r="K100" s="44" t="s">
        <v>541</v>
      </c>
      <c r="L100" s="46" t="n">
        <v>85</v>
      </c>
      <c r="M100" s="47" t="n">
        <v>6.5</v>
      </c>
      <c r="N100" s="40"/>
      <c r="O100" s="41" t="s">
        <v>99</v>
      </c>
    </row>
    <row r="101" customFormat="false" ht="48" hidden="false" customHeight="true" outlineLevel="0" collapsed="false">
      <c r="A101" s="58" t="s">
        <v>542</v>
      </c>
      <c r="B101" s="59" t="n">
        <v>46405</v>
      </c>
      <c r="C101" s="60" t="s">
        <v>130</v>
      </c>
      <c r="D101" s="61" t="s">
        <v>437</v>
      </c>
      <c r="E101" s="62" t="s">
        <v>446</v>
      </c>
      <c r="F101" s="61" t="s">
        <v>447</v>
      </c>
      <c r="G101" s="61" t="s">
        <v>448</v>
      </c>
      <c r="H101" s="62" t="s">
        <v>449</v>
      </c>
      <c r="I101" s="61" t="s">
        <v>349</v>
      </c>
      <c r="J101" s="61" t="s">
        <v>350</v>
      </c>
      <c r="K101" s="61" t="s">
        <v>351</v>
      </c>
      <c r="L101" s="63" t="n">
        <v>110</v>
      </c>
      <c r="M101" s="64" t="n">
        <v>6.5</v>
      </c>
      <c r="N101" s="40"/>
      <c r="O101" s="58" t="s">
        <v>99</v>
      </c>
    </row>
    <row r="102" customFormat="false" ht="48" hidden="false" customHeight="true" outlineLevel="0" collapsed="false">
      <c r="A102" s="58" t="s">
        <v>543</v>
      </c>
      <c r="B102" s="59" t="n">
        <v>46406</v>
      </c>
      <c r="C102" s="60" t="s">
        <v>134</v>
      </c>
      <c r="D102" s="61" t="s">
        <v>437</v>
      </c>
      <c r="E102" s="62" t="s">
        <v>544</v>
      </c>
      <c r="F102" s="61" t="s">
        <v>545</v>
      </c>
      <c r="G102" s="61" t="s">
        <v>440</v>
      </c>
      <c r="H102" s="62" t="s">
        <v>546</v>
      </c>
      <c r="I102" s="61" t="s">
        <v>547</v>
      </c>
      <c r="J102" s="61" t="s">
        <v>443</v>
      </c>
      <c r="K102" s="61" t="s">
        <v>455</v>
      </c>
      <c r="L102" s="63" t="n">
        <v>95</v>
      </c>
      <c r="M102" s="64" t="n">
        <v>6.5</v>
      </c>
      <c r="N102" s="40"/>
      <c r="O102" s="58" t="s">
        <v>99</v>
      </c>
    </row>
    <row r="103" customFormat="false" ht="48" hidden="false" customHeight="true" outlineLevel="0" collapsed="false">
      <c r="A103" s="58" t="s">
        <v>548</v>
      </c>
      <c r="B103" s="59" t="n">
        <v>46407</v>
      </c>
      <c r="C103" s="60" t="s">
        <v>138</v>
      </c>
      <c r="D103" s="61" t="s">
        <v>437</v>
      </c>
      <c r="E103" s="62" t="s">
        <v>446</v>
      </c>
      <c r="F103" s="61" t="s">
        <v>457</v>
      </c>
      <c r="G103" s="61" t="s">
        <v>448</v>
      </c>
      <c r="H103" s="62" t="s">
        <v>458</v>
      </c>
      <c r="I103" s="61" t="s">
        <v>365</v>
      </c>
      <c r="J103" s="61" t="s">
        <v>366</v>
      </c>
      <c r="K103" s="61" t="s">
        <v>367</v>
      </c>
      <c r="L103" s="63" t="n">
        <v>110</v>
      </c>
      <c r="M103" s="64" t="n">
        <v>6.5</v>
      </c>
      <c r="N103" s="40"/>
      <c r="O103" s="58" t="s">
        <v>99</v>
      </c>
    </row>
    <row r="104" customFormat="false" ht="48" hidden="false" customHeight="true" outlineLevel="0" collapsed="false">
      <c r="A104" s="58" t="s">
        <v>549</v>
      </c>
      <c r="B104" s="59" t="n">
        <v>46408</v>
      </c>
      <c r="C104" s="60" t="s">
        <v>90</v>
      </c>
      <c r="D104" s="61" t="s">
        <v>437</v>
      </c>
      <c r="E104" s="62" t="s">
        <v>550</v>
      </c>
      <c r="F104" s="61" t="s">
        <v>551</v>
      </c>
      <c r="G104" s="61" t="s">
        <v>440</v>
      </c>
      <c r="H104" s="62" t="s">
        <v>552</v>
      </c>
      <c r="I104" s="61" t="s">
        <v>553</v>
      </c>
      <c r="J104" s="61" t="s">
        <v>443</v>
      </c>
      <c r="K104" s="61" t="s">
        <v>467</v>
      </c>
      <c r="L104" s="63" t="n">
        <v>95</v>
      </c>
      <c r="M104" s="64" t="n">
        <v>6.5</v>
      </c>
      <c r="N104" s="40"/>
      <c r="O104" s="58" t="s">
        <v>99</v>
      </c>
    </row>
    <row r="105" customFormat="false" ht="48" hidden="false" customHeight="true" outlineLevel="0" collapsed="false">
      <c r="A105" s="58" t="s">
        <v>554</v>
      </c>
      <c r="B105" s="59" t="n">
        <v>46409</v>
      </c>
      <c r="C105" s="60" t="s">
        <v>101</v>
      </c>
      <c r="D105" s="61" t="s">
        <v>437</v>
      </c>
      <c r="E105" s="62" t="s">
        <v>446</v>
      </c>
      <c r="F105" s="61" t="s">
        <v>474</v>
      </c>
      <c r="G105" s="61" t="s">
        <v>448</v>
      </c>
      <c r="H105" s="62" t="s">
        <v>475</v>
      </c>
      <c r="I105" s="61" t="s">
        <v>381</v>
      </c>
      <c r="J105" s="61" t="s">
        <v>382</v>
      </c>
      <c r="K105" s="61" t="s">
        <v>383</v>
      </c>
      <c r="L105" s="63" t="n">
        <v>110</v>
      </c>
      <c r="M105" s="64" t="n">
        <v>6.5</v>
      </c>
      <c r="N105" s="40"/>
      <c r="O105" s="58" t="s">
        <v>99</v>
      </c>
    </row>
    <row r="106" customFormat="false" ht="48" hidden="false" customHeight="true" outlineLevel="0" collapsed="false">
      <c r="A106" s="58" t="s">
        <v>555</v>
      </c>
      <c r="B106" s="59" t="n">
        <v>46410</v>
      </c>
      <c r="C106" s="60" t="s">
        <v>110</v>
      </c>
      <c r="D106" s="61" t="s">
        <v>437</v>
      </c>
      <c r="E106" s="62" t="s">
        <v>556</v>
      </c>
      <c r="F106" s="61" t="s">
        <v>557</v>
      </c>
      <c r="G106" s="61" t="s">
        <v>440</v>
      </c>
      <c r="H106" s="62" t="s">
        <v>558</v>
      </c>
      <c r="I106" s="61" t="s">
        <v>559</v>
      </c>
      <c r="J106" s="61" t="s">
        <v>443</v>
      </c>
      <c r="K106" s="61" t="s">
        <v>444</v>
      </c>
      <c r="L106" s="63" t="n">
        <v>95</v>
      </c>
      <c r="M106" s="64" t="n">
        <v>6.5</v>
      </c>
      <c r="N106" s="40"/>
      <c r="O106" s="58" t="s">
        <v>99</v>
      </c>
    </row>
    <row r="107" customFormat="false" ht="48" hidden="false" customHeight="true" outlineLevel="0" collapsed="false">
      <c r="A107" s="41" t="s">
        <v>560</v>
      </c>
      <c r="B107" s="42" t="n">
        <v>46411</v>
      </c>
      <c r="C107" s="43" t="s">
        <v>120</v>
      </c>
      <c r="D107" s="44" t="s">
        <v>111</v>
      </c>
      <c r="E107" s="45" t="s">
        <v>561</v>
      </c>
      <c r="F107" s="44" t="s">
        <v>562</v>
      </c>
      <c r="G107" s="44" t="s">
        <v>171</v>
      </c>
      <c r="H107" s="45" t="s">
        <v>115</v>
      </c>
      <c r="I107" s="44" t="s">
        <v>563</v>
      </c>
      <c r="J107" s="44" t="s">
        <v>117</v>
      </c>
      <c r="K107" s="44" t="s">
        <v>564</v>
      </c>
      <c r="L107" s="46" t="n">
        <v>85</v>
      </c>
      <c r="M107" s="47" t="n">
        <v>6.5</v>
      </c>
      <c r="N107" s="40"/>
      <c r="O107" s="41" t="s">
        <v>99</v>
      </c>
    </row>
    <row r="108" customFormat="false" ht="48" hidden="false" customHeight="true" outlineLevel="0" collapsed="false">
      <c r="A108" s="65" t="s">
        <v>565</v>
      </c>
      <c r="B108" s="66" t="n">
        <v>46412</v>
      </c>
      <c r="C108" s="67" t="s">
        <v>130</v>
      </c>
      <c r="D108" s="68" t="s">
        <v>566</v>
      </c>
      <c r="E108" s="69" t="s">
        <v>567</v>
      </c>
      <c r="F108" s="68" t="s">
        <v>568</v>
      </c>
      <c r="G108" s="68" t="s">
        <v>569</v>
      </c>
      <c r="H108" s="69" t="s">
        <v>570</v>
      </c>
      <c r="I108" s="68" t="s">
        <v>571</v>
      </c>
      <c r="J108" s="68" t="s">
        <v>572</v>
      </c>
      <c r="K108" s="68" t="s">
        <v>573</v>
      </c>
      <c r="L108" s="70" t="n">
        <v>60</v>
      </c>
      <c r="M108" s="71" t="n">
        <v>6.5</v>
      </c>
      <c r="N108" s="40"/>
      <c r="O108" s="65" t="s">
        <v>99</v>
      </c>
    </row>
    <row r="109" customFormat="false" ht="24" hidden="false" customHeight="true" outlineLevel="0" collapsed="false">
      <c r="A109" s="48" t="s">
        <v>574</v>
      </c>
      <c r="B109" s="49" t="n">
        <v>46413</v>
      </c>
      <c r="C109" s="25" t="s">
        <v>134</v>
      </c>
      <c r="D109" s="26" t="s">
        <v>121</v>
      </c>
      <c r="E109" s="21" t="s">
        <v>575</v>
      </c>
      <c r="F109" s="26" t="s">
        <v>576</v>
      </c>
      <c r="G109" s="26" t="s">
        <v>124</v>
      </c>
      <c r="H109" s="21" t="s">
        <v>125</v>
      </c>
      <c r="I109" s="26" t="s">
        <v>126</v>
      </c>
      <c r="J109" s="26" t="s">
        <v>125</v>
      </c>
      <c r="K109" s="26" t="s">
        <v>127</v>
      </c>
      <c r="L109" s="23" t="n">
        <v>0</v>
      </c>
      <c r="M109" s="50" t="n">
        <v>0</v>
      </c>
      <c r="N109" s="40"/>
      <c r="O109" s="48" t="s">
        <v>128</v>
      </c>
    </row>
    <row r="110" customFormat="false" ht="48" hidden="false" customHeight="true" outlineLevel="0" collapsed="false">
      <c r="A110" s="65" t="s">
        <v>577</v>
      </c>
      <c r="B110" s="66" t="n">
        <v>46414</v>
      </c>
      <c r="C110" s="67" t="s">
        <v>138</v>
      </c>
      <c r="D110" s="68" t="s">
        <v>566</v>
      </c>
      <c r="E110" s="69" t="s">
        <v>578</v>
      </c>
      <c r="F110" s="68" t="s">
        <v>579</v>
      </c>
      <c r="G110" s="68" t="s">
        <v>569</v>
      </c>
      <c r="H110" s="69" t="s">
        <v>570</v>
      </c>
      <c r="I110" s="68" t="s">
        <v>580</v>
      </c>
      <c r="J110" s="68" t="s">
        <v>572</v>
      </c>
      <c r="K110" s="68" t="s">
        <v>581</v>
      </c>
      <c r="L110" s="70" t="n">
        <v>60</v>
      </c>
      <c r="M110" s="71" t="n">
        <v>6.5</v>
      </c>
      <c r="N110" s="40"/>
      <c r="O110" s="65" t="s">
        <v>99</v>
      </c>
    </row>
    <row r="111" customFormat="false" ht="48" hidden="false" customHeight="true" outlineLevel="0" collapsed="false">
      <c r="A111" s="65" t="s">
        <v>582</v>
      </c>
      <c r="B111" s="66" t="n">
        <v>46415</v>
      </c>
      <c r="C111" s="67" t="s">
        <v>90</v>
      </c>
      <c r="D111" s="68" t="s">
        <v>566</v>
      </c>
      <c r="E111" s="69" t="s">
        <v>583</v>
      </c>
      <c r="F111" s="68" t="s">
        <v>584</v>
      </c>
      <c r="G111" s="68" t="s">
        <v>569</v>
      </c>
      <c r="H111" s="69" t="s">
        <v>570</v>
      </c>
      <c r="I111" s="68" t="s">
        <v>585</v>
      </c>
      <c r="J111" s="68" t="s">
        <v>572</v>
      </c>
      <c r="K111" s="68" t="s">
        <v>586</v>
      </c>
      <c r="L111" s="70" t="n">
        <v>60</v>
      </c>
      <c r="M111" s="71" t="n">
        <v>6.5</v>
      </c>
      <c r="N111" s="40"/>
      <c r="O111" s="65" t="s">
        <v>99</v>
      </c>
    </row>
    <row r="112" customFormat="false" ht="48" hidden="false" customHeight="true" outlineLevel="0" collapsed="false">
      <c r="A112" s="65" t="s">
        <v>587</v>
      </c>
      <c r="B112" s="66" t="n">
        <v>46416</v>
      </c>
      <c r="C112" s="67" t="s">
        <v>101</v>
      </c>
      <c r="D112" s="68" t="s">
        <v>566</v>
      </c>
      <c r="E112" s="69" t="s">
        <v>588</v>
      </c>
      <c r="F112" s="68" t="s">
        <v>589</v>
      </c>
      <c r="G112" s="68" t="s">
        <v>569</v>
      </c>
      <c r="H112" s="69" t="s">
        <v>570</v>
      </c>
      <c r="I112" s="68" t="s">
        <v>590</v>
      </c>
      <c r="J112" s="68" t="s">
        <v>572</v>
      </c>
      <c r="K112" s="68" t="s">
        <v>591</v>
      </c>
      <c r="L112" s="70" t="n">
        <v>60</v>
      </c>
      <c r="M112" s="71" t="n">
        <v>6.5</v>
      </c>
      <c r="N112" s="40"/>
      <c r="O112" s="65" t="s">
        <v>99</v>
      </c>
    </row>
    <row r="113" customFormat="false" ht="48" hidden="false" customHeight="true" outlineLevel="0" collapsed="false">
      <c r="A113" s="65" t="s">
        <v>592</v>
      </c>
      <c r="B113" s="66" t="n">
        <v>46417</v>
      </c>
      <c r="C113" s="67" t="s">
        <v>110</v>
      </c>
      <c r="D113" s="68" t="s">
        <v>566</v>
      </c>
      <c r="E113" s="69" t="s">
        <v>593</v>
      </c>
      <c r="F113" s="68" t="s">
        <v>594</v>
      </c>
      <c r="G113" s="68" t="s">
        <v>569</v>
      </c>
      <c r="H113" s="69" t="s">
        <v>570</v>
      </c>
      <c r="I113" s="68" t="s">
        <v>595</v>
      </c>
      <c r="J113" s="68" t="s">
        <v>572</v>
      </c>
      <c r="K113" s="68" t="s">
        <v>596</v>
      </c>
      <c r="L113" s="70" t="n">
        <v>60</v>
      </c>
      <c r="M113" s="71" t="n">
        <v>6.5</v>
      </c>
      <c r="N113" s="40"/>
      <c r="O113" s="65" t="s">
        <v>99</v>
      </c>
    </row>
    <row r="114" customFormat="false" ht="48" hidden="false" customHeight="true" outlineLevel="0" collapsed="false">
      <c r="A114" s="41" t="s">
        <v>597</v>
      </c>
      <c r="B114" s="42" t="n">
        <v>46418</v>
      </c>
      <c r="C114" s="43" t="s">
        <v>120</v>
      </c>
      <c r="D114" s="44" t="s">
        <v>111</v>
      </c>
      <c r="E114" s="45" t="s">
        <v>598</v>
      </c>
      <c r="F114" s="44" t="s">
        <v>599</v>
      </c>
      <c r="G114" s="44" t="s">
        <v>171</v>
      </c>
      <c r="H114" s="45" t="s">
        <v>600</v>
      </c>
      <c r="I114" s="44" t="s">
        <v>601</v>
      </c>
      <c r="J114" s="44" t="s">
        <v>602</v>
      </c>
      <c r="K114" s="44" t="s">
        <v>603</v>
      </c>
      <c r="L114" s="46" t="n">
        <v>85</v>
      </c>
      <c r="M114" s="47" t="n">
        <v>6.5</v>
      </c>
      <c r="N114" s="40"/>
      <c r="O114" s="41" t="s">
        <v>99</v>
      </c>
    </row>
    <row r="115" customFormat="false" ht="48" hidden="false" customHeight="true" outlineLevel="0" collapsed="false">
      <c r="A115" s="65" t="s">
        <v>604</v>
      </c>
      <c r="B115" s="66" t="n">
        <v>46419</v>
      </c>
      <c r="C115" s="67" t="s">
        <v>130</v>
      </c>
      <c r="D115" s="68" t="s">
        <v>566</v>
      </c>
      <c r="E115" s="69" t="s">
        <v>605</v>
      </c>
      <c r="F115" s="68" t="s">
        <v>606</v>
      </c>
      <c r="G115" s="68" t="s">
        <v>569</v>
      </c>
      <c r="H115" s="69" t="s">
        <v>570</v>
      </c>
      <c r="I115" s="68" t="s">
        <v>607</v>
      </c>
      <c r="J115" s="68" t="s">
        <v>572</v>
      </c>
      <c r="K115" s="68" t="s">
        <v>608</v>
      </c>
      <c r="L115" s="70" t="n">
        <v>60</v>
      </c>
      <c r="M115" s="71" t="n">
        <v>6.5</v>
      </c>
      <c r="N115" s="40"/>
      <c r="O115" s="65" t="s">
        <v>99</v>
      </c>
    </row>
    <row r="116" customFormat="false" ht="48" hidden="false" customHeight="true" outlineLevel="0" collapsed="false">
      <c r="A116" s="65" t="s">
        <v>609</v>
      </c>
      <c r="B116" s="66" t="n">
        <v>46420</v>
      </c>
      <c r="C116" s="67" t="s">
        <v>134</v>
      </c>
      <c r="D116" s="68" t="s">
        <v>566</v>
      </c>
      <c r="E116" s="69" t="s">
        <v>567</v>
      </c>
      <c r="F116" s="68" t="s">
        <v>568</v>
      </c>
      <c r="G116" s="68" t="s">
        <v>569</v>
      </c>
      <c r="H116" s="69" t="s">
        <v>570</v>
      </c>
      <c r="I116" s="68" t="s">
        <v>571</v>
      </c>
      <c r="J116" s="68" t="s">
        <v>572</v>
      </c>
      <c r="K116" s="68" t="s">
        <v>573</v>
      </c>
      <c r="L116" s="70" t="n">
        <v>60</v>
      </c>
      <c r="M116" s="71" t="n">
        <v>6.5</v>
      </c>
      <c r="N116" s="40"/>
      <c r="O116" s="65" t="s">
        <v>99</v>
      </c>
    </row>
    <row r="117" customFormat="false" ht="48" hidden="false" customHeight="true" outlineLevel="0" collapsed="false">
      <c r="A117" s="65" t="s">
        <v>610</v>
      </c>
      <c r="B117" s="66" t="n">
        <v>46421</v>
      </c>
      <c r="C117" s="67" t="s">
        <v>138</v>
      </c>
      <c r="D117" s="68" t="s">
        <v>566</v>
      </c>
      <c r="E117" s="69" t="s">
        <v>578</v>
      </c>
      <c r="F117" s="68" t="s">
        <v>579</v>
      </c>
      <c r="G117" s="68" t="s">
        <v>569</v>
      </c>
      <c r="H117" s="69" t="s">
        <v>570</v>
      </c>
      <c r="I117" s="68" t="s">
        <v>580</v>
      </c>
      <c r="J117" s="68" t="s">
        <v>572</v>
      </c>
      <c r="K117" s="68" t="s">
        <v>581</v>
      </c>
      <c r="L117" s="70" t="n">
        <v>60</v>
      </c>
      <c r="M117" s="71" t="n">
        <v>6.5</v>
      </c>
      <c r="N117" s="40"/>
      <c r="O117" s="65" t="s">
        <v>99</v>
      </c>
    </row>
    <row r="118" customFormat="false" ht="48" hidden="false" customHeight="true" outlineLevel="0" collapsed="false">
      <c r="A118" s="65" t="s">
        <v>611</v>
      </c>
      <c r="B118" s="66" t="n">
        <v>46422</v>
      </c>
      <c r="C118" s="67" t="s">
        <v>90</v>
      </c>
      <c r="D118" s="68" t="s">
        <v>566</v>
      </c>
      <c r="E118" s="69" t="s">
        <v>583</v>
      </c>
      <c r="F118" s="68" t="s">
        <v>584</v>
      </c>
      <c r="G118" s="68" t="s">
        <v>569</v>
      </c>
      <c r="H118" s="69" t="s">
        <v>570</v>
      </c>
      <c r="I118" s="68" t="s">
        <v>585</v>
      </c>
      <c r="J118" s="68" t="s">
        <v>572</v>
      </c>
      <c r="K118" s="68" t="s">
        <v>586</v>
      </c>
      <c r="L118" s="70" t="n">
        <v>60</v>
      </c>
      <c r="M118" s="71" t="n">
        <v>6.5</v>
      </c>
      <c r="N118" s="40"/>
      <c r="O118" s="65" t="s">
        <v>99</v>
      </c>
    </row>
    <row r="119" customFormat="false" ht="48" hidden="false" customHeight="true" outlineLevel="0" collapsed="false">
      <c r="A119" s="65" t="s">
        <v>612</v>
      </c>
      <c r="B119" s="66" t="n">
        <v>46423</v>
      </c>
      <c r="C119" s="67" t="s">
        <v>101</v>
      </c>
      <c r="D119" s="68" t="s">
        <v>566</v>
      </c>
      <c r="E119" s="69" t="s">
        <v>588</v>
      </c>
      <c r="F119" s="68" t="s">
        <v>589</v>
      </c>
      <c r="G119" s="68" t="s">
        <v>569</v>
      </c>
      <c r="H119" s="69" t="s">
        <v>570</v>
      </c>
      <c r="I119" s="68" t="s">
        <v>590</v>
      </c>
      <c r="J119" s="68" t="s">
        <v>572</v>
      </c>
      <c r="K119" s="68" t="s">
        <v>591</v>
      </c>
      <c r="L119" s="70" t="n">
        <v>60</v>
      </c>
      <c r="M119" s="71" t="n">
        <v>6.5</v>
      </c>
      <c r="N119" s="40"/>
      <c r="O119" s="65" t="s">
        <v>99</v>
      </c>
    </row>
    <row r="120" customFormat="false" ht="24" hidden="false" customHeight="true" outlineLevel="0" collapsed="false">
      <c r="A120" s="65" t="s">
        <v>613</v>
      </c>
      <c r="B120" s="66" t="n">
        <v>46424</v>
      </c>
      <c r="C120" s="67" t="s">
        <v>110</v>
      </c>
      <c r="D120" s="68" t="s">
        <v>566</v>
      </c>
      <c r="E120" s="69" t="s">
        <v>614</v>
      </c>
      <c r="F120" s="68" t="s">
        <v>615</v>
      </c>
      <c r="G120" s="68" t="s">
        <v>616</v>
      </c>
      <c r="H120" s="69" t="s">
        <v>617</v>
      </c>
      <c r="I120" s="68" t="s">
        <v>618</v>
      </c>
      <c r="J120" s="68" t="s">
        <v>619</v>
      </c>
      <c r="K120" s="68" t="s">
        <v>620</v>
      </c>
      <c r="L120" s="70" t="n">
        <v>0</v>
      </c>
      <c r="M120" s="71" t="n">
        <v>3.5</v>
      </c>
      <c r="N120" s="40"/>
      <c r="O120" s="65" t="s">
        <v>99</v>
      </c>
    </row>
    <row r="121" customFormat="false" ht="24" hidden="false" customHeight="true" outlineLevel="0" collapsed="false">
      <c r="A121" s="65" t="s">
        <v>621</v>
      </c>
      <c r="B121" s="66" t="n">
        <v>46425</v>
      </c>
      <c r="C121" s="67" t="s">
        <v>120</v>
      </c>
      <c r="D121" s="68" t="s">
        <v>566</v>
      </c>
      <c r="E121" s="69" t="s">
        <v>614</v>
      </c>
      <c r="F121" s="68" t="s">
        <v>615</v>
      </c>
      <c r="G121" s="68" t="s">
        <v>616</v>
      </c>
      <c r="H121" s="69" t="s">
        <v>617</v>
      </c>
      <c r="I121" s="68" t="s">
        <v>618</v>
      </c>
      <c r="J121" s="68" t="s">
        <v>619</v>
      </c>
      <c r="K121" s="68" t="s">
        <v>620</v>
      </c>
      <c r="L121" s="70" t="n">
        <v>0</v>
      </c>
      <c r="M121" s="71" t="n">
        <v>3.5</v>
      </c>
      <c r="N121" s="40"/>
      <c r="O121" s="65" t="s">
        <v>99</v>
      </c>
    </row>
    <row r="122" customFormat="false" ht="25.5" hidden="false" customHeight="true" outlineLevel="0" collapsed="false">
      <c r="A122" s="31" t="s">
        <v>622</v>
      </c>
      <c r="B122" s="31" t="s">
        <v>6</v>
      </c>
      <c r="C122" s="31" t="s">
        <v>623</v>
      </c>
      <c r="D122" s="31" t="s">
        <v>624</v>
      </c>
      <c r="E122" s="31"/>
      <c r="F122" s="31"/>
      <c r="G122" s="31"/>
      <c r="H122" s="31"/>
      <c r="I122" s="31"/>
      <c r="J122" s="31"/>
      <c r="K122" s="31"/>
      <c r="L122" s="29" t="n">
        <f aca="false">SUM(L6:L121)</f>
        <v>8793</v>
      </c>
      <c r="M122" s="72" t="n">
        <f aca="false">SUM(M6:M121)</f>
        <v>675.25</v>
      </c>
      <c r="N122" s="29" t="n">
        <f aca="false">SUM(N6:N121)</f>
        <v>0</v>
      </c>
      <c r="O122" s="31" t="str">
        <f aca="false">COUNTIF(O6:O121,"Done")&amp;" / 104 Done"</f>
        <v>0 / 104 Done</v>
      </c>
    </row>
  </sheetData>
  <mergeCells count="2">
    <mergeCell ref="A1:O1"/>
    <mergeCell ref="A2:O3"/>
  </mergeCells>
  <dataValidations count="1">
    <dataValidation allowBlank="true" errorStyle="stop" operator="between" showDropDown="false" showErrorMessage="false" showInputMessage="false" sqref="O6:O121" type="list">
      <formula1>"Pending,In Progress,Done,HOLIDAY - 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54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31"/>
  </cols>
  <sheetData>
    <row r="1" customFormat="false" ht="27.75" hidden="false" customHeight="true" outlineLevel="0" collapsed="false">
      <c r="A1" s="1" t="s">
        <v>625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626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5.5" hidden="false" customHeight="true" outlineLevel="0" collapsed="false">
      <c r="A4" s="8" t="s">
        <v>627</v>
      </c>
      <c r="B4" s="8" t="s">
        <v>628</v>
      </c>
      <c r="C4" s="8" t="s">
        <v>629</v>
      </c>
      <c r="D4" s="8" t="s">
        <v>630</v>
      </c>
      <c r="E4" s="8" t="s">
        <v>631</v>
      </c>
      <c r="F4" s="8" t="s">
        <v>632</v>
      </c>
      <c r="G4" s="8" t="s">
        <v>633</v>
      </c>
      <c r="H4" s="8" t="s">
        <v>634</v>
      </c>
      <c r="I4" s="8" t="s">
        <v>635</v>
      </c>
      <c r="J4" s="8" t="s">
        <v>636</v>
      </c>
    </row>
    <row r="5" customFormat="false" ht="30" hidden="false" customHeight="true" outlineLevel="0" collapsed="false">
      <c r="A5" s="73" t="s">
        <v>637</v>
      </c>
      <c r="B5" s="73" t="s">
        <v>638</v>
      </c>
      <c r="C5" s="74" t="s">
        <v>639</v>
      </c>
      <c r="D5" s="75" t="n">
        <v>2</v>
      </c>
      <c r="E5" s="74" t="s">
        <v>640</v>
      </c>
      <c r="F5" s="76" t="s">
        <v>641</v>
      </c>
      <c r="G5" s="74" t="s">
        <v>642</v>
      </c>
      <c r="H5" s="77" t="s">
        <v>643</v>
      </c>
      <c r="I5" s="77" t="s">
        <v>99</v>
      </c>
      <c r="J5" s="77" t="s">
        <v>99</v>
      </c>
    </row>
    <row r="6" customFormat="false" ht="30" hidden="false" customHeight="true" outlineLevel="0" collapsed="false">
      <c r="A6" s="9" t="s">
        <v>637</v>
      </c>
      <c r="B6" s="9" t="s">
        <v>644</v>
      </c>
      <c r="C6" s="13" t="s">
        <v>639</v>
      </c>
      <c r="D6" s="12" t="n">
        <v>2</v>
      </c>
      <c r="E6" s="13" t="s">
        <v>640</v>
      </c>
      <c r="F6" s="14" t="s">
        <v>645</v>
      </c>
      <c r="G6" s="13" t="s">
        <v>646</v>
      </c>
      <c r="H6" s="77" t="s">
        <v>643</v>
      </c>
      <c r="I6" s="77" t="s">
        <v>99</v>
      </c>
      <c r="J6" s="77" t="s">
        <v>99</v>
      </c>
    </row>
    <row r="7" customFormat="false" ht="30" hidden="false" customHeight="true" outlineLevel="0" collapsed="false">
      <c r="A7" s="73" t="s">
        <v>637</v>
      </c>
      <c r="B7" s="73" t="s">
        <v>647</v>
      </c>
      <c r="C7" s="74" t="s">
        <v>648</v>
      </c>
      <c r="D7" s="75" t="n">
        <v>1.5</v>
      </c>
      <c r="E7" s="74" t="s">
        <v>649</v>
      </c>
      <c r="F7" s="76" t="s">
        <v>650</v>
      </c>
      <c r="G7" s="74" t="s">
        <v>651</v>
      </c>
      <c r="H7" s="77" t="s">
        <v>643</v>
      </c>
      <c r="I7" s="77" t="s">
        <v>99</v>
      </c>
      <c r="J7" s="77" t="s">
        <v>99</v>
      </c>
    </row>
    <row r="8" customFormat="false" ht="30" hidden="false" customHeight="true" outlineLevel="0" collapsed="false">
      <c r="A8" s="9" t="s">
        <v>637</v>
      </c>
      <c r="B8" s="9" t="s">
        <v>652</v>
      </c>
      <c r="C8" s="13" t="s">
        <v>639</v>
      </c>
      <c r="D8" s="12" t="n">
        <v>2.5</v>
      </c>
      <c r="E8" s="13" t="s">
        <v>33</v>
      </c>
      <c r="F8" s="14" t="s">
        <v>653</v>
      </c>
      <c r="G8" s="13" t="s">
        <v>654</v>
      </c>
      <c r="H8" s="77" t="s">
        <v>643</v>
      </c>
      <c r="I8" s="77" t="s">
        <v>99</v>
      </c>
      <c r="J8" s="77" t="s">
        <v>99</v>
      </c>
    </row>
    <row r="9" customFormat="false" ht="30" hidden="false" customHeight="true" outlineLevel="0" collapsed="false">
      <c r="A9" s="73" t="s">
        <v>637</v>
      </c>
      <c r="B9" s="73" t="s">
        <v>655</v>
      </c>
      <c r="C9" s="74" t="s">
        <v>639</v>
      </c>
      <c r="D9" s="75" t="n">
        <v>2</v>
      </c>
      <c r="E9" s="74" t="s">
        <v>30</v>
      </c>
      <c r="F9" s="76" t="s">
        <v>656</v>
      </c>
      <c r="G9" s="74" t="s">
        <v>657</v>
      </c>
      <c r="H9" s="77" t="s">
        <v>643</v>
      </c>
      <c r="I9" s="77" t="s">
        <v>99</v>
      </c>
      <c r="J9" s="77" t="s">
        <v>99</v>
      </c>
    </row>
    <row r="10" customFormat="false" ht="30" hidden="false" customHeight="true" outlineLevel="0" collapsed="false">
      <c r="A10" s="9" t="s">
        <v>43</v>
      </c>
      <c r="B10" s="9" t="s">
        <v>658</v>
      </c>
      <c r="C10" s="13" t="s">
        <v>639</v>
      </c>
      <c r="D10" s="12" t="n">
        <v>2</v>
      </c>
      <c r="E10" s="13" t="s">
        <v>659</v>
      </c>
      <c r="F10" s="14" t="s">
        <v>660</v>
      </c>
      <c r="G10" s="13" t="s">
        <v>661</v>
      </c>
      <c r="H10" s="77" t="s">
        <v>643</v>
      </c>
      <c r="I10" s="77" t="s">
        <v>99</v>
      </c>
      <c r="J10" s="77" t="s">
        <v>99</v>
      </c>
    </row>
    <row r="11" customFormat="false" ht="30" hidden="false" customHeight="true" outlineLevel="0" collapsed="false">
      <c r="A11" s="73" t="s">
        <v>43</v>
      </c>
      <c r="B11" s="73" t="s">
        <v>662</v>
      </c>
      <c r="C11" s="74" t="s">
        <v>648</v>
      </c>
      <c r="D11" s="75" t="n">
        <v>1.5</v>
      </c>
      <c r="E11" s="74" t="s">
        <v>649</v>
      </c>
      <c r="F11" s="76" t="s">
        <v>663</v>
      </c>
      <c r="G11" s="74" t="s">
        <v>664</v>
      </c>
      <c r="H11" s="77" t="s">
        <v>643</v>
      </c>
      <c r="I11" s="77" t="s">
        <v>99</v>
      </c>
      <c r="J11" s="77" t="s">
        <v>99</v>
      </c>
    </row>
    <row r="12" customFormat="false" ht="30" hidden="false" customHeight="true" outlineLevel="0" collapsed="false">
      <c r="A12" s="9" t="s">
        <v>43</v>
      </c>
      <c r="B12" s="9" t="s">
        <v>665</v>
      </c>
      <c r="C12" s="13" t="s">
        <v>639</v>
      </c>
      <c r="D12" s="12" t="n">
        <v>2</v>
      </c>
      <c r="E12" s="13" t="s">
        <v>33</v>
      </c>
      <c r="F12" s="14" t="s">
        <v>666</v>
      </c>
      <c r="G12" s="13" t="s">
        <v>667</v>
      </c>
      <c r="H12" s="77" t="s">
        <v>643</v>
      </c>
      <c r="I12" s="77" t="s">
        <v>99</v>
      </c>
      <c r="J12" s="77" t="s">
        <v>99</v>
      </c>
    </row>
    <row r="13" customFormat="false" ht="30" hidden="false" customHeight="true" outlineLevel="0" collapsed="false">
      <c r="A13" s="73" t="s">
        <v>43</v>
      </c>
      <c r="B13" s="73" t="s">
        <v>668</v>
      </c>
      <c r="C13" s="74" t="s">
        <v>639</v>
      </c>
      <c r="D13" s="75" t="n">
        <v>2</v>
      </c>
      <c r="E13" s="74" t="s">
        <v>30</v>
      </c>
      <c r="F13" s="76" t="s">
        <v>669</v>
      </c>
      <c r="G13" s="74" t="s">
        <v>670</v>
      </c>
      <c r="H13" s="77" t="s">
        <v>643</v>
      </c>
      <c r="I13" s="77" t="s">
        <v>99</v>
      </c>
      <c r="J13" s="77" t="s">
        <v>99</v>
      </c>
    </row>
    <row r="14" customFormat="false" ht="30" hidden="false" customHeight="true" outlineLevel="0" collapsed="false">
      <c r="A14" s="9" t="s">
        <v>43</v>
      </c>
      <c r="B14" s="9" t="s">
        <v>671</v>
      </c>
      <c r="C14" s="13" t="s">
        <v>639</v>
      </c>
      <c r="D14" s="12" t="n">
        <v>2</v>
      </c>
      <c r="E14" s="13" t="s">
        <v>36</v>
      </c>
      <c r="F14" s="14" t="s">
        <v>672</v>
      </c>
      <c r="G14" s="13" t="s">
        <v>673</v>
      </c>
      <c r="H14" s="77" t="s">
        <v>643</v>
      </c>
      <c r="I14" s="77" t="s">
        <v>99</v>
      </c>
      <c r="J14" s="77" t="s">
        <v>99</v>
      </c>
    </row>
    <row r="15" customFormat="false" ht="30" hidden="false" customHeight="true" outlineLevel="0" collapsed="false">
      <c r="A15" s="21" t="s">
        <v>674</v>
      </c>
      <c r="B15" s="21" t="s">
        <v>675</v>
      </c>
      <c r="C15" s="25" t="s">
        <v>639</v>
      </c>
      <c r="D15" s="24" t="n">
        <v>2.5</v>
      </c>
      <c r="E15" s="25" t="s">
        <v>30</v>
      </c>
      <c r="F15" s="26" t="s">
        <v>676</v>
      </c>
      <c r="G15" s="25" t="s">
        <v>677</v>
      </c>
      <c r="H15" s="77" t="s">
        <v>678</v>
      </c>
      <c r="I15" s="77" t="s">
        <v>99</v>
      </c>
      <c r="J15" s="77" t="s">
        <v>99</v>
      </c>
    </row>
    <row r="16" customFormat="false" ht="30" hidden="false" customHeight="true" outlineLevel="0" collapsed="false">
      <c r="A16" s="21" t="s">
        <v>674</v>
      </c>
      <c r="B16" s="21" t="s">
        <v>679</v>
      </c>
      <c r="C16" s="25" t="s">
        <v>648</v>
      </c>
      <c r="D16" s="24" t="n">
        <v>1.5</v>
      </c>
      <c r="E16" s="25" t="s">
        <v>659</v>
      </c>
      <c r="F16" s="26" t="s">
        <v>680</v>
      </c>
      <c r="G16" s="25" t="s">
        <v>681</v>
      </c>
      <c r="H16" s="77" t="s">
        <v>99</v>
      </c>
      <c r="I16" s="77" t="s">
        <v>99</v>
      </c>
      <c r="J16" s="77" t="s">
        <v>99</v>
      </c>
    </row>
    <row r="17" customFormat="false" ht="30" hidden="false" customHeight="true" outlineLevel="0" collapsed="false">
      <c r="A17" s="21" t="s">
        <v>674</v>
      </c>
      <c r="B17" s="21" t="s">
        <v>682</v>
      </c>
      <c r="C17" s="25" t="s">
        <v>639</v>
      </c>
      <c r="D17" s="24" t="n">
        <v>2</v>
      </c>
      <c r="E17" s="25" t="s">
        <v>41</v>
      </c>
      <c r="F17" s="26" t="s">
        <v>683</v>
      </c>
      <c r="G17" s="25" t="s">
        <v>684</v>
      </c>
      <c r="H17" s="77" t="s">
        <v>99</v>
      </c>
      <c r="I17" s="77" t="s">
        <v>99</v>
      </c>
      <c r="J17" s="77" t="s">
        <v>99</v>
      </c>
    </row>
    <row r="18" customFormat="false" ht="30" hidden="false" customHeight="true" outlineLevel="0" collapsed="false">
      <c r="A18" s="21" t="s">
        <v>674</v>
      </c>
      <c r="B18" s="21" t="s">
        <v>685</v>
      </c>
      <c r="C18" s="25" t="s">
        <v>639</v>
      </c>
      <c r="D18" s="24" t="n">
        <v>1.5</v>
      </c>
      <c r="E18" s="25" t="s">
        <v>686</v>
      </c>
      <c r="F18" s="26" t="s">
        <v>687</v>
      </c>
      <c r="G18" s="25" t="s">
        <v>688</v>
      </c>
      <c r="H18" s="77" t="s">
        <v>99</v>
      </c>
      <c r="I18" s="77" t="s">
        <v>99</v>
      </c>
      <c r="J18" s="77" t="s">
        <v>99</v>
      </c>
    </row>
    <row r="19" customFormat="false" ht="30" hidden="false" customHeight="true" outlineLevel="0" collapsed="false">
      <c r="A19" s="21" t="s">
        <v>674</v>
      </c>
      <c r="B19" s="21" t="s">
        <v>689</v>
      </c>
      <c r="C19" s="25" t="s">
        <v>639</v>
      </c>
      <c r="D19" s="24" t="n">
        <v>2</v>
      </c>
      <c r="E19" s="25" t="s">
        <v>686</v>
      </c>
      <c r="F19" s="26" t="s">
        <v>690</v>
      </c>
      <c r="G19" s="25" t="s">
        <v>691</v>
      </c>
      <c r="H19" s="77" t="s">
        <v>99</v>
      </c>
      <c r="I19" s="77" t="s">
        <v>99</v>
      </c>
      <c r="J19" s="77" t="s">
        <v>99</v>
      </c>
    </row>
    <row r="20" customFormat="false" ht="30" hidden="false" customHeight="true" outlineLevel="0" collapsed="false">
      <c r="A20" s="21" t="s">
        <v>692</v>
      </c>
      <c r="B20" s="21" t="s">
        <v>693</v>
      </c>
      <c r="C20" s="25" t="s">
        <v>694</v>
      </c>
      <c r="D20" s="24" t="n">
        <v>1</v>
      </c>
      <c r="E20" s="25" t="s">
        <v>640</v>
      </c>
      <c r="F20" s="26" t="s">
        <v>695</v>
      </c>
      <c r="G20" s="25" t="s">
        <v>696</v>
      </c>
      <c r="H20" s="77" t="s">
        <v>99</v>
      </c>
      <c r="I20" s="77" t="s">
        <v>99</v>
      </c>
      <c r="J20" s="77" t="s">
        <v>99</v>
      </c>
    </row>
    <row r="21" customFormat="false" ht="30" hidden="false" customHeight="true" outlineLevel="0" collapsed="false">
      <c r="A21" s="21" t="s">
        <v>692</v>
      </c>
      <c r="B21" s="21" t="s">
        <v>697</v>
      </c>
      <c r="C21" s="25" t="s">
        <v>639</v>
      </c>
      <c r="D21" s="24" t="n">
        <v>2</v>
      </c>
      <c r="E21" s="25" t="s">
        <v>33</v>
      </c>
      <c r="F21" s="26" t="s">
        <v>698</v>
      </c>
      <c r="G21" s="25" t="s">
        <v>699</v>
      </c>
      <c r="H21" s="77" t="s">
        <v>99</v>
      </c>
      <c r="I21" s="77" t="s">
        <v>99</v>
      </c>
      <c r="J21" s="77" t="s">
        <v>99</v>
      </c>
    </row>
    <row r="22" customFormat="false" ht="30" hidden="false" customHeight="true" outlineLevel="0" collapsed="false">
      <c r="A22" s="21" t="s">
        <v>692</v>
      </c>
      <c r="B22" s="21" t="s">
        <v>700</v>
      </c>
      <c r="C22" s="25" t="s">
        <v>639</v>
      </c>
      <c r="D22" s="24" t="n">
        <v>2</v>
      </c>
      <c r="E22" s="25" t="s">
        <v>33</v>
      </c>
      <c r="F22" s="26" t="s">
        <v>701</v>
      </c>
      <c r="G22" s="25" t="s">
        <v>702</v>
      </c>
      <c r="H22" s="77" t="s">
        <v>99</v>
      </c>
      <c r="I22" s="77" t="s">
        <v>99</v>
      </c>
      <c r="J22" s="77" t="s">
        <v>99</v>
      </c>
    </row>
    <row r="23" customFormat="false" ht="30" hidden="false" customHeight="true" outlineLevel="0" collapsed="false">
      <c r="A23" s="21" t="s">
        <v>692</v>
      </c>
      <c r="B23" s="21" t="s">
        <v>703</v>
      </c>
      <c r="C23" s="25" t="s">
        <v>639</v>
      </c>
      <c r="D23" s="24" t="n">
        <v>1.5</v>
      </c>
      <c r="E23" s="25" t="s">
        <v>640</v>
      </c>
      <c r="F23" s="26" t="s">
        <v>704</v>
      </c>
      <c r="G23" s="25" t="s">
        <v>705</v>
      </c>
      <c r="H23" s="77" t="s">
        <v>99</v>
      </c>
      <c r="I23" s="77" t="s">
        <v>99</v>
      </c>
      <c r="J23" s="77" t="s">
        <v>99</v>
      </c>
    </row>
    <row r="24" customFormat="false" ht="30" hidden="false" customHeight="true" outlineLevel="0" collapsed="false">
      <c r="A24" s="21" t="s">
        <v>692</v>
      </c>
      <c r="B24" s="21" t="s">
        <v>706</v>
      </c>
      <c r="C24" s="25" t="s">
        <v>648</v>
      </c>
      <c r="D24" s="24" t="n">
        <v>1.5</v>
      </c>
      <c r="E24" s="25" t="s">
        <v>30</v>
      </c>
      <c r="F24" s="26" t="s">
        <v>707</v>
      </c>
      <c r="G24" s="25" t="s">
        <v>708</v>
      </c>
      <c r="H24" s="77" t="s">
        <v>99</v>
      </c>
      <c r="I24" s="77" t="s">
        <v>99</v>
      </c>
      <c r="J24" s="77" t="s">
        <v>99</v>
      </c>
    </row>
    <row r="25" customFormat="false" ht="30" hidden="false" customHeight="true" outlineLevel="0" collapsed="false">
      <c r="A25" s="21" t="s">
        <v>709</v>
      </c>
      <c r="B25" s="21" t="s">
        <v>710</v>
      </c>
      <c r="C25" s="25" t="s">
        <v>639</v>
      </c>
      <c r="D25" s="24" t="n">
        <v>2</v>
      </c>
      <c r="E25" s="25" t="s">
        <v>640</v>
      </c>
      <c r="F25" s="26" t="s">
        <v>711</v>
      </c>
      <c r="G25" s="25" t="s">
        <v>712</v>
      </c>
      <c r="H25" s="77" t="s">
        <v>678</v>
      </c>
      <c r="I25" s="77" t="s">
        <v>99</v>
      </c>
      <c r="J25" s="77" t="s">
        <v>99</v>
      </c>
    </row>
    <row r="26" customFormat="false" ht="30" hidden="false" customHeight="true" outlineLevel="0" collapsed="false">
      <c r="A26" s="21" t="s">
        <v>709</v>
      </c>
      <c r="B26" s="21" t="s">
        <v>713</v>
      </c>
      <c r="C26" s="25" t="s">
        <v>648</v>
      </c>
      <c r="D26" s="24" t="n">
        <v>1.5</v>
      </c>
      <c r="E26" s="25" t="s">
        <v>30</v>
      </c>
      <c r="F26" s="26" t="s">
        <v>714</v>
      </c>
      <c r="G26" s="25" t="s">
        <v>715</v>
      </c>
      <c r="H26" s="77" t="s">
        <v>99</v>
      </c>
      <c r="I26" s="77" t="s">
        <v>99</v>
      </c>
      <c r="J26" s="77" t="s">
        <v>99</v>
      </c>
    </row>
    <row r="27" customFormat="false" ht="30" hidden="false" customHeight="true" outlineLevel="0" collapsed="false">
      <c r="A27" s="21" t="s">
        <v>709</v>
      </c>
      <c r="B27" s="21" t="s">
        <v>716</v>
      </c>
      <c r="C27" s="25" t="s">
        <v>639</v>
      </c>
      <c r="D27" s="24" t="n">
        <v>2.5</v>
      </c>
      <c r="E27" s="25" t="s">
        <v>30</v>
      </c>
      <c r="F27" s="26" t="s">
        <v>717</v>
      </c>
      <c r="G27" s="25" t="s">
        <v>718</v>
      </c>
      <c r="H27" s="77" t="s">
        <v>99</v>
      </c>
      <c r="I27" s="77" t="s">
        <v>99</v>
      </c>
      <c r="J27" s="77" t="s">
        <v>99</v>
      </c>
    </row>
    <row r="28" customFormat="false" ht="30" hidden="false" customHeight="true" outlineLevel="0" collapsed="false">
      <c r="A28" s="21" t="s">
        <v>709</v>
      </c>
      <c r="B28" s="21" t="s">
        <v>719</v>
      </c>
      <c r="C28" s="25" t="s">
        <v>648</v>
      </c>
      <c r="D28" s="24" t="n">
        <v>1.5</v>
      </c>
      <c r="E28" s="25" t="s">
        <v>33</v>
      </c>
      <c r="F28" s="26" t="s">
        <v>720</v>
      </c>
      <c r="G28" s="25" t="s">
        <v>721</v>
      </c>
      <c r="H28" s="77" t="s">
        <v>99</v>
      </c>
      <c r="I28" s="77" t="s">
        <v>99</v>
      </c>
      <c r="J28" s="77" t="s">
        <v>99</v>
      </c>
    </row>
    <row r="29" customFormat="false" ht="30" hidden="false" customHeight="true" outlineLevel="0" collapsed="false">
      <c r="A29" s="21" t="s">
        <v>709</v>
      </c>
      <c r="B29" s="21" t="s">
        <v>722</v>
      </c>
      <c r="C29" s="25" t="s">
        <v>639</v>
      </c>
      <c r="D29" s="24" t="n">
        <v>2</v>
      </c>
      <c r="E29" s="25" t="s">
        <v>33</v>
      </c>
      <c r="F29" s="26" t="s">
        <v>723</v>
      </c>
      <c r="G29" s="25" t="s">
        <v>724</v>
      </c>
      <c r="H29" s="77" t="s">
        <v>99</v>
      </c>
      <c r="I29" s="77" t="s">
        <v>99</v>
      </c>
      <c r="J29" s="77" t="s">
        <v>99</v>
      </c>
    </row>
    <row r="30" customFormat="false" ht="30" hidden="false" customHeight="true" outlineLevel="0" collapsed="false">
      <c r="A30" s="21" t="s">
        <v>709</v>
      </c>
      <c r="B30" s="21" t="s">
        <v>725</v>
      </c>
      <c r="C30" s="25" t="s">
        <v>694</v>
      </c>
      <c r="D30" s="24" t="n">
        <v>1</v>
      </c>
      <c r="E30" s="25" t="s">
        <v>30</v>
      </c>
      <c r="F30" s="26" t="s">
        <v>726</v>
      </c>
      <c r="G30" s="25" t="s">
        <v>727</v>
      </c>
      <c r="H30" s="77" t="s">
        <v>99</v>
      </c>
      <c r="I30" s="77" t="s">
        <v>99</v>
      </c>
      <c r="J30" s="77" t="s">
        <v>99</v>
      </c>
    </row>
    <row r="31" customFormat="false" ht="30" hidden="false" customHeight="true" outlineLevel="0" collapsed="false">
      <c r="A31" s="73" t="s">
        <v>728</v>
      </c>
      <c r="B31" s="73" t="s">
        <v>729</v>
      </c>
      <c r="C31" s="74" t="s">
        <v>639</v>
      </c>
      <c r="D31" s="75" t="n">
        <v>2.5</v>
      </c>
      <c r="E31" s="74" t="s">
        <v>640</v>
      </c>
      <c r="F31" s="76" t="s">
        <v>730</v>
      </c>
      <c r="G31" s="74" t="s">
        <v>731</v>
      </c>
      <c r="H31" s="77" t="s">
        <v>643</v>
      </c>
      <c r="I31" s="77" t="s">
        <v>99</v>
      </c>
      <c r="J31" s="77" t="s">
        <v>99</v>
      </c>
    </row>
    <row r="32" customFormat="false" ht="30" hidden="false" customHeight="true" outlineLevel="0" collapsed="false">
      <c r="A32" s="9" t="s">
        <v>728</v>
      </c>
      <c r="B32" s="9" t="s">
        <v>732</v>
      </c>
      <c r="C32" s="13" t="s">
        <v>639</v>
      </c>
      <c r="D32" s="12" t="n">
        <v>2.5</v>
      </c>
      <c r="E32" s="13" t="s">
        <v>36</v>
      </c>
      <c r="F32" s="14" t="s">
        <v>733</v>
      </c>
      <c r="G32" s="13" t="s">
        <v>734</v>
      </c>
      <c r="H32" s="77" t="s">
        <v>643</v>
      </c>
      <c r="I32" s="77" t="s">
        <v>99</v>
      </c>
      <c r="J32" s="77" t="s">
        <v>99</v>
      </c>
    </row>
    <row r="33" customFormat="false" ht="30" hidden="false" customHeight="true" outlineLevel="0" collapsed="false">
      <c r="A33" s="73" t="s">
        <v>728</v>
      </c>
      <c r="B33" s="73" t="s">
        <v>735</v>
      </c>
      <c r="C33" s="74" t="s">
        <v>648</v>
      </c>
      <c r="D33" s="75" t="n">
        <v>1.5</v>
      </c>
      <c r="E33" s="74" t="s">
        <v>33</v>
      </c>
      <c r="F33" s="76" t="s">
        <v>736</v>
      </c>
      <c r="G33" s="74" t="s">
        <v>737</v>
      </c>
      <c r="H33" s="77" t="s">
        <v>643</v>
      </c>
      <c r="I33" s="77" t="s">
        <v>99</v>
      </c>
      <c r="J33" s="77" t="s">
        <v>99</v>
      </c>
    </row>
    <row r="34" customFormat="false" ht="30" hidden="false" customHeight="true" outlineLevel="0" collapsed="false">
      <c r="A34" s="9" t="s">
        <v>728</v>
      </c>
      <c r="B34" s="9" t="s">
        <v>738</v>
      </c>
      <c r="C34" s="13" t="s">
        <v>639</v>
      </c>
      <c r="D34" s="12" t="n">
        <v>2.5</v>
      </c>
      <c r="E34" s="13" t="s">
        <v>640</v>
      </c>
      <c r="F34" s="14" t="s">
        <v>739</v>
      </c>
      <c r="G34" s="13" t="s">
        <v>740</v>
      </c>
      <c r="H34" s="77" t="s">
        <v>643</v>
      </c>
      <c r="I34" s="77" t="s">
        <v>99</v>
      </c>
      <c r="J34" s="77" t="s">
        <v>99</v>
      </c>
    </row>
    <row r="35" customFormat="false" ht="30" hidden="false" customHeight="true" outlineLevel="0" collapsed="false">
      <c r="A35" s="73" t="s">
        <v>728</v>
      </c>
      <c r="B35" s="73" t="s">
        <v>741</v>
      </c>
      <c r="C35" s="74" t="s">
        <v>639</v>
      </c>
      <c r="D35" s="75" t="n">
        <v>1.5</v>
      </c>
      <c r="E35" s="74" t="s">
        <v>640</v>
      </c>
      <c r="F35" s="76" t="s">
        <v>742</v>
      </c>
      <c r="G35" s="74" t="s">
        <v>743</v>
      </c>
      <c r="H35" s="77" t="s">
        <v>643</v>
      </c>
      <c r="I35" s="77" t="s">
        <v>99</v>
      </c>
      <c r="J35" s="77" t="s">
        <v>99</v>
      </c>
    </row>
    <row r="36" customFormat="false" ht="30" hidden="false" customHeight="true" outlineLevel="0" collapsed="false">
      <c r="A36" s="9" t="s">
        <v>744</v>
      </c>
      <c r="B36" s="9" t="s">
        <v>745</v>
      </c>
      <c r="C36" s="13" t="s">
        <v>648</v>
      </c>
      <c r="D36" s="12" t="n">
        <v>1.5</v>
      </c>
      <c r="E36" s="13" t="s">
        <v>659</v>
      </c>
      <c r="F36" s="14" t="s">
        <v>746</v>
      </c>
      <c r="G36" s="13" t="s">
        <v>747</v>
      </c>
      <c r="H36" s="77" t="s">
        <v>643</v>
      </c>
      <c r="I36" s="77" t="s">
        <v>99</v>
      </c>
      <c r="J36" s="77" t="s">
        <v>99</v>
      </c>
    </row>
    <row r="37" customFormat="false" ht="30" hidden="false" customHeight="true" outlineLevel="0" collapsed="false">
      <c r="A37" s="73" t="s">
        <v>744</v>
      </c>
      <c r="B37" s="73" t="s">
        <v>748</v>
      </c>
      <c r="C37" s="74" t="s">
        <v>639</v>
      </c>
      <c r="D37" s="75" t="n">
        <v>2</v>
      </c>
      <c r="E37" s="74" t="s">
        <v>30</v>
      </c>
      <c r="F37" s="76" t="s">
        <v>749</v>
      </c>
      <c r="G37" s="74" t="s">
        <v>750</v>
      </c>
      <c r="H37" s="77" t="s">
        <v>643</v>
      </c>
      <c r="I37" s="77" t="s">
        <v>99</v>
      </c>
      <c r="J37" s="77" t="s">
        <v>99</v>
      </c>
    </row>
    <row r="38" customFormat="false" ht="30" hidden="false" customHeight="true" outlineLevel="0" collapsed="false">
      <c r="A38" s="9" t="s">
        <v>744</v>
      </c>
      <c r="B38" s="9" t="s">
        <v>751</v>
      </c>
      <c r="C38" s="13" t="s">
        <v>639</v>
      </c>
      <c r="D38" s="12" t="n">
        <v>2</v>
      </c>
      <c r="E38" s="13" t="s">
        <v>36</v>
      </c>
      <c r="F38" s="14" t="s">
        <v>752</v>
      </c>
      <c r="G38" s="13" t="s">
        <v>753</v>
      </c>
      <c r="H38" s="77" t="s">
        <v>643</v>
      </c>
      <c r="I38" s="77" t="s">
        <v>99</v>
      </c>
      <c r="J38" s="77" t="s">
        <v>99</v>
      </c>
    </row>
    <row r="39" customFormat="false" ht="30" hidden="false" customHeight="true" outlineLevel="0" collapsed="false">
      <c r="A39" s="73" t="s">
        <v>744</v>
      </c>
      <c r="B39" s="73" t="s">
        <v>754</v>
      </c>
      <c r="C39" s="74" t="s">
        <v>639</v>
      </c>
      <c r="D39" s="75" t="n">
        <v>1.5</v>
      </c>
      <c r="E39" s="74" t="s">
        <v>36</v>
      </c>
      <c r="F39" s="76" t="s">
        <v>755</v>
      </c>
      <c r="G39" s="74" t="s">
        <v>756</v>
      </c>
      <c r="H39" s="77" t="s">
        <v>643</v>
      </c>
      <c r="I39" s="77" t="s">
        <v>99</v>
      </c>
      <c r="J39" s="77" t="s">
        <v>99</v>
      </c>
    </row>
    <row r="40" customFormat="false" ht="30" hidden="false" customHeight="true" outlineLevel="0" collapsed="false">
      <c r="A40" s="9" t="s">
        <v>744</v>
      </c>
      <c r="B40" s="9" t="s">
        <v>757</v>
      </c>
      <c r="C40" s="13" t="s">
        <v>639</v>
      </c>
      <c r="D40" s="12" t="n">
        <v>1.5</v>
      </c>
      <c r="E40" s="13" t="s">
        <v>640</v>
      </c>
      <c r="F40" s="14" t="s">
        <v>758</v>
      </c>
      <c r="G40" s="13" t="s">
        <v>759</v>
      </c>
      <c r="H40" s="77" t="s">
        <v>643</v>
      </c>
      <c r="I40" s="77" t="s">
        <v>99</v>
      </c>
      <c r="J40" s="77" t="s">
        <v>99</v>
      </c>
    </row>
    <row r="41" customFormat="false" ht="30" hidden="false" customHeight="true" outlineLevel="0" collapsed="false">
      <c r="A41" s="73" t="s">
        <v>760</v>
      </c>
      <c r="B41" s="73" t="s">
        <v>761</v>
      </c>
      <c r="C41" s="74" t="s">
        <v>648</v>
      </c>
      <c r="D41" s="75" t="n">
        <v>1.5</v>
      </c>
      <c r="E41" s="74" t="s">
        <v>30</v>
      </c>
      <c r="F41" s="76" t="s">
        <v>762</v>
      </c>
      <c r="G41" s="74" t="s">
        <v>763</v>
      </c>
      <c r="H41" s="77" t="s">
        <v>643</v>
      </c>
      <c r="I41" s="77" t="s">
        <v>99</v>
      </c>
      <c r="J41" s="77" t="s">
        <v>99</v>
      </c>
    </row>
    <row r="42" customFormat="false" ht="30" hidden="false" customHeight="true" outlineLevel="0" collapsed="false">
      <c r="A42" s="9" t="s">
        <v>760</v>
      </c>
      <c r="B42" s="9" t="s">
        <v>764</v>
      </c>
      <c r="C42" s="13" t="s">
        <v>639</v>
      </c>
      <c r="D42" s="12" t="n">
        <v>2.5</v>
      </c>
      <c r="E42" s="13" t="s">
        <v>640</v>
      </c>
      <c r="F42" s="14" t="s">
        <v>765</v>
      </c>
      <c r="G42" s="13" t="s">
        <v>766</v>
      </c>
      <c r="H42" s="77" t="s">
        <v>643</v>
      </c>
      <c r="I42" s="77" t="s">
        <v>99</v>
      </c>
      <c r="J42" s="77" t="s">
        <v>99</v>
      </c>
    </row>
    <row r="43" customFormat="false" ht="30" hidden="false" customHeight="true" outlineLevel="0" collapsed="false">
      <c r="A43" s="73" t="s">
        <v>760</v>
      </c>
      <c r="B43" s="73" t="s">
        <v>767</v>
      </c>
      <c r="C43" s="74" t="s">
        <v>639</v>
      </c>
      <c r="D43" s="75" t="n">
        <v>3</v>
      </c>
      <c r="E43" s="74" t="s">
        <v>33</v>
      </c>
      <c r="F43" s="76" t="s">
        <v>768</v>
      </c>
      <c r="G43" s="74" t="s">
        <v>769</v>
      </c>
      <c r="H43" s="77" t="s">
        <v>643</v>
      </c>
      <c r="I43" s="77" t="s">
        <v>99</v>
      </c>
      <c r="J43" s="77" t="s">
        <v>99</v>
      </c>
    </row>
    <row r="44" customFormat="false" ht="30" hidden="false" customHeight="true" outlineLevel="0" collapsed="false">
      <c r="A44" s="9" t="s">
        <v>760</v>
      </c>
      <c r="B44" s="9" t="s">
        <v>770</v>
      </c>
      <c r="C44" s="13" t="s">
        <v>648</v>
      </c>
      <c r="D44" s="12" t="n">
        <v>1.5</v>
      </c>
      <c r="E44" s="13" t="s">
        <v>640</v>
      </c>
      <c r="F44" s="14" t="s">
        <v>771</v>
      </c>
      <c r="G44" s="13" t="s">
        <v>772</v>
      </c>
      <c r="H44" s="77" t="s">
        <v>643</v>
      </c>
      <c r="I44" s="77" t="s">
        <v>99</v>
      </c>
      <c r="J44" s="77" t="s">
        <v>99</v>
      </c>
    </row>
    <row r="45" customFormat="false" ht="30" hidden="false" customHeight="true" outlineLevel="0" collapsed="false">
      <c r="A45" s="73" t="s">
        <v>773</v>
      </c>
      <c r="B45" s="73" t="s">
        <v>774</v>
      </c>
      <c r="C45" s="74" t="s">
        <v>639</v>
      </c>
      <c r="D45" s="75" t="n">
        <v>2</v>
      </c>
      <c r="E45" s="74" t="s">
        <v>30</v>
      </c>
      <c r="F45" s="76" t="s">
        <v>775</v>
      </c>
      <c r="G45" s="74" t="s">
        <v>776</v>
      </c>
      <c r="H45" s="77" t="s">
        <v>643</v>
      </c>
      <c r="I45" s="77" t="s">
        <v>99</v>
      </c>
      <c r="J45" s="77" t="s">
        <v>99</v>
      </c>
    </row>
    <row r="46" customFormat="false" ht="30" hidden="false" customHeight="true" outlineLevel="0" collapsed="false">
      <c r="A46" s="9" t="s">
        <v>773</v>
      </c>
      <c r="B46" s="9" t="s">
        <v>777</v>
      </c>
      <c r="C46" s="13" t="s">
        <v>639</v>
      </c>
      <c r="D46" s="12" t="n">
        <v>1.5</v>
      </c>
      <c r="E46" s="13" t="s">
        <v>649</v>
      </c>
      <c r="F46" s="14" t="s">
        <v>778</v>
      </c>
      <c r="G46" s="13" t="s">
        <v>779</v>
      </c>
      <c r="H46" s="77" t="s">
        <v>643</v>
      </c>
      <c r="I46" s="77" t="s">
        <v>99</v>
      </c>
      <c r="J46" s="77" t="s">
        <v>99</v>
      </c>
    </row>
    <row r="47" customFormat="false" ht="30" hidden="false" customHeight="true" outlineLevel="0" collapsed="false">
      <c r="A47" s="73" t="s">
        <v>773</v>
      </c>
      <c r="B47" s="73" t="s">
        <v>780</v>
      </c>
      <c r="C47" s="74" t="s">
        <v>639</v>
      </c>
      <c r="D47" s="75" t="n">
        <v>2</v>
      </c>
      <c r="E47" s="74" t="s">
        <v>640</v>
      </c>
      <c r="F47" s="76" t="s">
        <v>781</v>
      </c>
      <c r="G47" s="74" t="s">
        <v>782</v>
      </c>
      <c r="H47" s="77" t="s">
        <v>643</v>
      </c>
      <c r="I47" s="77" t="s">
        <v>99</v>
      </c>
      <c r="J47" s="77" t="s">
        <v>99</v>
      </c>
    </row>
    <row r="48" customFormat="false" ht="30" hidden="false" customHeight="true" outlineLevel="0" collapsed="false">
      <c r="A48" s="9" t="s">
        <v>783</v>
      </c>
      <c r="B48" s="9" t="s">
        <v>784</v>
      </c>
      <c r="C48" s="13" t="s">
        <v>639</v>
      </c>
      <c r="D48" s="12" t="n">
        <v>2</v>
      </c>
      <c r="E48" s="13" t="s">
        <v>41</v>
      </c>
      <c r="F48" s="14" t="s">
        <v>785</v>
      </c>
      <c r="G48" s="13" t="s">
        <v>786</v>
      </c>
      <c r="H48" s="77" t="s">
        <v>643</v>
      </c>
      <c r="I48" s="77" t="s">
        <v>99</v>
      </c>
      <c r="J48" s="77" t="s">
        <v>99</v>
      </c>
    </row>
    <row r="49" customFormat="false" ht="30" hidden="false" customHeight="true" outlineLevel="0" collapsed="false">
      <c r="A49" s="73" t="s">
        <v>783</v>
      </c>
      <c r="B49" s="73" t="s">
        <v>787</v>
      </c>
      <c r="C49" s="74" t="s">
        <v>639</v>
      </c>
      <c r="D49" s="75" t="n">
        <v>2</v>
      </c>
      <c r="E49" s="74" t="s">
        <v>33</v>
      </c>
      <c r="F49" s="76" t="s">
        <v>788</v>
      </c>
      <c r="G49" s="74" t="s">
        <v>789</v>
      </c>
      <c r="H49" s="77" t="s">
        <v>643</v>
      </c>
      <c r="I49" s="77" t="s">
        <v>99</v>
      </c>
      <c r="J49" s="77" t="s">
        <v>99</v>
      </c>
    </row>
    <row r="50" customFormat="false" ht="30" hidden="false" customHeight="true" outlineLevel="0" collapsed="false">
      <c r="A50" s="9" t="s">
        <v>783</v>
      </c>
      <c r="B50" s="9" t="s">
        <v>790</v>
      </c>
      <c r="C50" s="13" t="s">
        <v>639</v>
      </c>
      <c r="D50" s="12" t="n">
        <v>2</v>
      </c>
      <c r="E50" s="13" t="s">
        <v>640</v>
      </c>
      <c r="F50" s="14" t="s">
        <v>791</v>
      </c>
      <c r="G50" s="13" t="s">
        <v>792</v>
      </c>
      <c r="H50" s="77" t="s">
        <v>643</v>
      </c>
      <c r="I50" s="77" t="s">
        <v>99</v>
      </c>
      <c r="J50" s="77" t="s">
        <v>99</v>
      </c>
    </row>
    <row r="51" customFormat="false" ht="30" hidden="false" customHeight="true" outlineLevel="0" collapsed="false">
      <c r="A51" s="73" t="s">
        <v>783</v>
      </c>
      <c r="B51" s="73" t="s">
        <v>793</v>
      </c>
      <c r="C51" s="74" t="s">
        <v>639</v>
      </c>
      <c r="D51" s="75" t="n">
        <v>3</v>
      </c>
      <c r="E51" s="74" t="s">
        <v>33</v>
      </c>
      <c r="F51" s="76" t="s">
        <v>794</v>
      </c>
      <c r="G51" s="74" t="s">
        <v>795</v>
      </c>
      <c r="H51" s="77" t="s">
        <v>643</v>
      </c>
      <c r="I51" s="77" t="s">
        <v>99</v>
      </c>
      <c r="J51" s="77" t="s">
        <v>99</v>
      </c>
    </row>
    <row r="52" customFormat="false" ht="30" hidden="false" customHeight="true" outlineLevel="0" collapsed="false">
      <c r="A52" s="9" t="s">
        <v>783</v>
      </c>
      <c r="B52" s="9" t="s">
        <v>796</v>
      </c>
      <c r="C52" s="13" t="s">
        <v>639</v>
      </c>
      <c r="D52" s="12" t="n">
        <v>3</v>
      </c>
      <c r="E52" s="13" t="s">
        <v>33</v>
      </c>
      <c r="F52" s="14" t="s">
        <v>797</v>
      </c>
      <c r="G52" s="13" t="s">
        <v>798</v>
      </c>
      <c r="H52" s="77" t="s">
        <v>643</v>
      </c>
      <c r="I52" s="77" t="s">
        <v>99</v>
      </c>
      <c r="J52" s="77" t="s">
        <v>99</v>
      </c>
    </row>
    <row r="53" customFormat="false" ht="30" hidden="false" customHeight="true" outlineLevel="0" collapsed="false">
      <c r="A53" s="73" t="s">
        <v>783</v>
      </c>
      <c r="B53" s="73" t="s">
        <v>799</v>
      </c>
      <c r="C53" s="74" t="s">
        <v>639</v>
      </c>
      <c r="D53" s="75" t="n">
        <v>3</v>
      </c>
      <c r="E53" s="74" t="s">
        <v>640</v>
      </c>
      <c r="F53" s="76" t="s">
        <v>800</v>
      </c>
      <c r="G53" s="74" t="s">
        <v>801</v>
      </c>
      <c r="H53" s="77" t="s">
        <v>643</v>
      </c>
      <c r="I53" s="77" t="s">
        <v>99</v>
      </c>
      <c r="J53" s="77" t="s">
        <v>99</v>
      </c>
    </row>
    <row r="54" customFormat="false" ht="30" hidden="false" customHeight="true" outlineLevel="0" collapsed="false">
      <c r="A54" s="9" t="s">
        <v>783</v>
      </c>
      <c r="B54" s="9" t="s">
        <v>802</v>
      </c>
      <c r="C54" s="13" t="s">
        <v>639</v>
      </c>
      <c r="D54" s="12" t="n">
        <v>2</v>
      </c>
      <c r="E54" s="13" t="s">
        <v>30</v>
      </c>
      <c r="F54" s="14" t="s">
        <v>803</v>
      </c>
      <c r="G54" s="13" t="s">
        <v>804</v>
      </c>
      <c r="H54" s="77" t="s">
        <v>643</v>
      </c>
      <c r="I54" s="77" t="s">
        <v>99</v>
      </c>
      <c r="J54" s="77" t="s">
        <v>99</v>
      </c>
    </row>
    <row r="55" customFormat="false" ht="30" hidden="false" customHeight="true" outlineLevel="0" collapsed="false">
      <c r="A55" s="73" t="s">
        <v>805</v>
      </c>
      <c r="B55" s="73" t="s">
        <v>806</v>
      </c>
      <c r="C55" s="74" t="s">
        <v>639</v>
      </c>
      <c r="D55" s="75" t="n">
        <v>9</v>
      </c>
      <c r="E55" s="74" t="s">
        <v>649</v>
      </c>
      <c r="F55" s="76" t="s">
        <v>807</v>
      </c>
      <c r="G55" s="74" t="s">
        <v>808</v>
      </c>
      <c r="H55" s="77" t="s">
        <v>643</v>
      </c>
      <c r="I55" s="77" t="s">
        <v>99</v>
      </c>
      <c r="J55" s="77" t="s">
        <v>99</v>
      </c>
    </row>
    <row r="56" customFormat="false" ht="30" hidden="false" customHeight="true" outlineLevel="0" collapsed="false">
      <c r="A56" s="9" t="s">
        <v>805</v>
      </c>
      <c r="B56" s="9" t="s">
        <v>809</v>
      </c>
      <c r="C56" s="13" t="s">
        <v>639</v>
      </c>
      <c r="D56" s="12" t="n">
        <v>6</v>
      </c>
      <c r="E56" s="13" t="s">
        <v>810</v>
      </c>
      <c r="F56" s="14" t="s">
        <v>811</v>
      </c>
      <c r="G56" s="13" t="s">
        <v>812</v>
      </c>
      <c r="H56" s="77" t="s">
        <v>643</v>
      </c>
      <c r="I56" s="77" t="s">
        <v>99</v>
      </c>
      <c r="J56" s="77" t="s">
        <v>99</v>
      </c>
    </row>
    <row r="57" customFormat="false" ht="24" hidden="false" customHeight="true" outlineLevel="0" collapsed="false">
      <c r="A57" s="27" t="s">
        <v>813</v>
      </c>
      <c r="B57" s="27" t="s">
        <v>814</v>
      </c>
      <c r="C57" s="31" t="s">
        <v>815</v>
      </c>
      <c r="D57" s="30" t="n">
        <f aca="false">SUM(D5:D56)</f>
        <v>112.5</v>
      </c>
      <c r="E57" s="31" t="s">
        <v>27</v>
      </c>
      <c r="F57" s="27" t="s">
        <v>816</v>
      </c>
      <c r="G57" s="31" t="s">
        <v>817</v>
      </c>
      <c r="H57" s="31" t="str">
        <f aca="false">COUNTIF(H5:H56,"Completed")&amp;" / 52"</f>
        <v>36 / 52</v>
      </c>
      <c r="I57" s="31" t="str">
        <f aca="false">COUNTIF(I5:I56,"Completed")&amp;" / 52"</f>
        <v>0 / 52</v>
      </c>
      <c r="J57" s="31" t="str">
        <f aca="false">COUNTIF(J5:J56,"Completed")&amp;" / 52"</f>
        <v>0 / 52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48"/>
    <col collapsed="false" customWidth="true" hidden="false" outlineLevel="0" max="5" min="5" style="0" width="23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27"/>
    <col collapsed="false" customWidth="true" hidden="false" outlineLevel="0" max="9" min="9" style="0" width="44"/>
  </cols>
  <sheetData>
    <row r="1" customFormat="false" ht="27.75" hidden="false" customHeight="true" outlineLevel="0" collapsed="false">
      <c r="A1" s="1" t="s">
        <v>818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819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7" t="s">
        <v>820</v>
      </c>
    </row>
    <row r="5" customFormat="false" ht="25.5" hidden="false" customHeight="true" outlineLevel="0" collapsed="false">
      <c r="A5" s="8" t="s">
        <v>821</v>
      </c>
      <c r="B5" s="8" t="s">
        <v>75</v>
      </c>
      <c r="C5" s="8" t="s">
        <v>76</v>
      </c>
      <c r="D5" s="8" t="s">
        <v>822</v>
      </c>
      <c r="E5" s="8" t="s">
        <v>823</v>
      </c>
      <c r="F5" s="8" t="s">
        <v>824</v>
      </c>
      <c r="G5" s="8" t="s">
        <v>825</v>
      </c>
      <c r="H5" s="8" t="s">
        <v>826</v>
      </c>
      <c r="I5" s="8" t="s">
        <v>827</v>
      </c>
    </row>
    <row r="6" customFormat="false" ht="24" hidden="false" customHeight="true" outlineLevel="0" collapsed="false">
      <c r="A6" s="78" t="s">
        <v>828</v>
      </c>
      <c r="B6" s="79" t="n">
        <v>46312</v>
      </c>
      <c r="C6" s="13" t="s">
        <v>110</v>
      </c>
      <c r="D6" s="14" t="s">
        <v>829</v>
      </c>
      <c r="E6" s="12" t="n">
        <v>55</v>
      </c>
      <c r="F6" s="80"/>
      <c r="G6" s="81"/>
      <c r="H6" s="80"/>
      <c r="I6" s="82"/>
    </row>
    <row r="7" customFormat="false" ht="24" hidden="false" customHeight="true" outlineLevel="0" collapsed="false">
      <c r="A7" s="83" t="s">
        <v>830</v>
      </c>
      <c r="B7" s="84" t="n">
        <v>46320</v>
      </c>
      <c r="C7" s="74" t="s">
        <v>120</v>
      </c>
      <c r="D7" s="76" t="s">
        <v>831</v>
      </c>
      <c r="E7" s="75" t="n">
        <v>58</v>
      </c>
      <c r="F7" s="80"/>
      <c r="G7" s="81"/>
      <c r="H7" s="80"/>
      <c r="I7" s="82"/>
    </row>
    <row r="8" customFormat="false" ht="24" hidden="false" customHeight="true" outlineLevel="0" collapsed="false">
      <c r="A8" s="78" t="s">
        <v>832</v>
      </c>
      <c r="B8" s="79" t="n">
        <v>46327</v>
      </c>
      <c r="C8" s="13" t="s">
        <v>120</v>
      </c>
      <c r="D8" s="14" t="s">
        <v>833</v>
      </c>
      <c r="E8" s="12" t="n">
        <v>62</v>
      </c>
      <c r="F8" s="80"/>
      <c r="G8" s="81"/>
      <c r="H8" s="80"/>
      <c r="I8" s="82"/>
    </row>
    <row r="9" customFormat="false" ht="24" hidden="false" customHeight="true" outlineLevel="0" collapsed="false">
      <c r="A9" s="83" t="s">
        <v>834</v>
      </c>
      <c r="B9" s="84" t="n">
        <v>46333</v>
      </c>
      <c r="C9" s="74" t="s">
        <v>110</v>
      </c>
      <c r="D9" s="76" t="s">
        <v>835</v>
      </c>
      <c r="E9" s="75" t="n">
        <v>65</v>
      </c>
      <c r="F9" s="80"/>
      <c r="G9" s="81"/>
      <c r="H9" s="80"/>
      <c r="I9" s="82"/>
    </row>
    <row r="10" customFormat="false" ht="24" hidden="false" customHeight="true" outlineLevel="0" collapsed="false">
      <c r="A10" s="78" t="s">
        <v>836</v>
      </c>
      <c r="B10" s="79" t="n">
        <v>46341</v>
      </c>
      <c r="C10" s="13" t="s">
        <v>120</v>
      </c>
      <c r="D10" s="14" t="s">
        <v>837</v>
      </c>
      <c r="E10" s="12" t="n">
        <v>68</v>
      </c>
      <c r="F10" s="80"/>
      <c r="G10" s="81"/>
      <c r="H10" s="80"/>
      <c r="I10" s="82"/>
    </row>
    <row r="11" customFormat="false" ht="24" hidden="false" customHeight="true" outlineLevel="0" collapsed="false">
      <c r="A11" s="83" t="s">
        <v>838</v>
      </c>
      <c r="B11" s="84" t="n">
        <v>46348</v>
      </c>
      <c r="C11" s="74" t="s">
        <v>120</v>
      </c>
      <c r="D11" s="76" t="s">
        <v>839</v>
      </c>
      <c r="E11" s="75" t="n">
        <v>70</v>
      </c>
      <c r="F11" s="80"/>
      <c r="G11" s="81"/>
      <c r="H11" s="80"/>
      <c r="I11" s="82"/>
    </row>
    <row r="12" customFormat="false" ht="24" hidden="false" customHeight="true" outlineLevel="0" collapsed="false">
      <c r="A12" s="78" t="s">
        <v>840</v>
      </c>
      <c r="B12" s="79" t="n">
        <v>46355</v>
      </c>
      <c r="C12" s="13" t="s">
        <v>120</v>
      </c>
      <c r="D12" s="14" t="s">
        <v>841</v>
      </c>
      <c r="E12" s="12" t="n">
        <v>72</v>
      </c>
      <c r="F12" s="80"/>
      <c r="G12" s="81"/>
      <c r="H12" s="80"/>
      <c r="I12" s="82"/>
    </row>
    <row r="13" customFormat="false" ht="24" hidden="false" customHeight="true" outlineLevel="0" collapsed="false">
      <c r="A13" s="83" t="s">
        <v>842</v>
      </c>
      <c r="B13" s="84" t="n">
        <v>46362</v>
      </c>
      <c r="C13" s="74" t="s">
        <v>120</v>
      </c>
      <c r="D13" s="76" t="s">
        <v>843</v>
      </c>
      <c r="E13" s="75" t="n">
        <v>74</v>
      </c>
      <c r="F13" s="80"/>
      <c r="G13" s="81"/>
      <c r="H13" s="80"/>
      <c r="I13" s="82"/>
    </row>
    <row r="14" customFormat="false" ht="24" hidden="false" customHeight="true" outlineLevel="0" collapsed="false">
      <c r="A14" s="78" t="s">
        <v>844</v>
      </c>
      <c r="B14" s="79" t="n">
        <v>46369</v>
      </c>
      <c r="C14" s="13" t="s">
        <v>120</v>
      </c>
      <c r="D14" s="14" t="s">
        <v>845</v>
      </c>
      <c r="E14" s="12" t="n">
        <v>76</v>
      </c>
      <c r="F14" s="80"/>
      <c r="G14" s="81"/>
      <c r="H14" s="80"/>
      <c r="I14" s="82"/>
    </row>
    <row r="15" customFormat="false" ht="24" hidden="false" customHeight="true" outlineLevel="0" collapsed="false">
      <c r="A15" s="83" t="s">
        <v>846</v>
      </c>
      <c r="B15" s="84" t="n">
        <v>46376</v>
      </c>
      <c r="C15" s="74" t="s">
        <v>120</v>
      </c>
      <c r="D15" s="76" t="s">
        <v>847</v>
      </c>
      <c r="E15" s="75" t="n">
        <v>78</v>
      </c>
      <c r="F15" s="80"/>
      <c r="G15" s="81"/>
      <c r="H15" s="80"/>
      <c r="I15" s="82"/>
    </row>
    <row r="16" customFormat="false" ht="24" hidden="false" customHeight="true" outlineLevel="0" collapsed="false">
      <c r="A16" s="78" t="s">
        <v>848</v>
      </c>
      <c r="B16" s="79" t="n">
        <v>46383</v>
      </c>
      <c r="C16" s="13" t="s">
        <v>120</v>
      </c>
      <c r="D16" s="14" t="s">
        <v>849</v>
      </c>
      <c r="E16" s="12" t="n">
        <v>80</v>
      </c>
      <c r="F16" s="80"/>
      <c r="G16" s="81"/>
      <c r="H16" s="80"/>
      <c r="I16" s="82"/>
    </row>
    <row r="17" customFormat="false" ht="24" hidden="false" customHeight="true" outlineLevel="0" collapsed="false">
      <c r="A17" s="83" t="s">
        <v>850</v>
      </c>
      <c r="B17" s="84" t="n">
        <v>46390</v>
      </c>
      <c r="C17" s="74" t="s">
        <v>120</v>
      </c>
      <c r="D17" s="76" t="s">
        <v>851</v>
      </c>
      <c r="E17" s="75" t="n">
        <v>81</v>
      </c>
      <c r="F17" s="80"/>
      <c r="G17" s="81"/>
      <c r="H17" s="80"/>
      <c r="I17" s="82"/>
    </row>
    <row r="18" customFormat="false" ht="24" hidden="false" customHeight="true" outlineLevel="0" collapsed="false">
      <c r="A18" s="78" t="s">
        <v>852</v>
      </c>
      <c r="B18" s="79" t="n">
        <v>46397</v>
      </c>
      <c r="C18" s="13" t="s">
        <v>120</v>
      </c>
      <c r="D18" s="14" t="s">
        <v>853</v>
      </c>
      <c r="E18" s="12" t="n">
        <v>82.5</v>
      </c>
      <c r="F18" s="80"/>
      <c r="G18" s="81"/>
      <c r="H18" s="80"/>
      <c r="I18" s="82"/>
    </row>
    <row r="19" customFormat="false" ht="24" hidden="false" customHeight="true" outlineLevel="0" collapsed="false">
      <c r="A19" s="83" t="s">
        <v>854</v>
      </c>
      <c r="B19" s="84" t="n">
        <v>46404</v>
      </c>
      <c r="C19" s="74" t="s">
        <v>120</v>
      </c>
      <c r="D19" s="76" t="s">
        <v>855</v>
      </c>
      <c r="E19" s="75" t="n">
        <v>84</v>
      </c>
      <c r="F19" s="80"/>
      <c r="G19" s="81"/>
      <c r="H19" s="80"/>
      <c r="I19" s="82"/>
    </row>
    <row r="20" customFormat="false" ht="24" hidden="false" customHeight="true" outlineLevel="0" collapsed="false">
      <c r="A20" s="78" t="s">
        <v>856</v>
      </c>
      <c r="B20" s="79" t="n">
        <v>46411</v>
      </c>
      <c r="C20" s="13" t="s">
        <v>120</v>
      </c>
      <c r="D20" s="14" t="s">
        <v>857</v>
      </c>
      <c r="E20" s="12" t="n">
        <v>85</v>
      </c>
      <c r="F20" s="80"/>
      <c r="G20" s="81"/>
      <c r="H20" s="80"/>
      <c r="I20" s="82"/>
    </row>
    <row r="21" customFormat="false" ht="24" hidden="false" customHeight="true" outlineLevel="0" collapsed="false">
      <c r="A21" s="83" t="s">
        <v>858</v>
      </c>
      <c r="B21" s="84" t="n">
        <v>46418</v>
      </c>
      <c r="C21" s="74" t="s">
        <v>120</v>
      </c>
      <c r="D21" s="76" t="s">
        <v>859</v>
      </c>
      <c r="E21" s="75" t="n">
        <v>86</v>
      </c>
      <c r="F21" s="80"/>
      <c r="G21" s="81"/>
      <c r="H21" s="80"/>
      <c r="I21" s="82"/>
    </row>
    <row r="22" customFormat="false" ht="24" hidden="false" customHeight="true" outlineLevel="0" collapsed="false">
      <c r="A22" s="31" t="s">
        <v>860</v>
      </c>
      <c r="B22" s="31" t="s">
        <v>861</v>
      </c>
      <c r="C22" s="31" t="s">
        <v>862</v>
      </c>
      <c r="D22" s="27" t="s">
        <v>863</v>
      </c>
      <c r="E22" s="30" t="n">
        <f aca="false">AVERAGE(E6:E21)</f>
        <v>73.53125</v>
      </c>
      <c r="F22" s="85" t="str">
        <f aca="false">IF(COUNT(F6:F21)=0,"",AVERAGE(F6:F21))</f>
        <v/>
      </c>
      <c r="G22" s="28" t="str">
        <f aca="false">IF(COUNT(G6:G21)=0,"",AVERAGE(G6:G21))</f>
        <v/>
      </c>
      <c r="H22" s="85" t="str">
        <f aca="false">IF(COUNT(H6:H21)=0,"",AVERAGE(H6:H21))</f>
        <v/>
      </c>
      <c r="I22" s="27" t="s">
        <v>864</v>
      </c>
    </row>
    <row r="25" customFormat="false" ht="21.75" hidden="false" customHeight="true" outlineLevel="0" collapsed="false">
      <c r="A25" s="7" t="s">
        <v>865</v>
      </c>
    </row>
    <row r="26" customFormat="false" ht="24" hidden="false" customHeight="true" outlineLevel="0" collapsed="false">
      <c r="A26" s="8" t="s">
        <v>866</v>
      </c>
      <c r="B26" s="8" t="s">
        <v>75</v>
      </c>
      <c r="C26" s="8" t="s">
        <v>76</v>
      </c>
      <c r="D26" s="8" t="s">
        <v>867</v>
      </c>
      <c r="E26" s="8" t="s">
        <v>868</v>
      </c>
      <c r="F26" s="8" t="s">
        <v>869</v>
      </c>
    </row>
    <row r="27" customFormat="false" ht="21.75" hidden="false" customHeight="true" outlineLevel="0" collapsed="false">
      <c r="A27" s="25" t="s">
        <v>870</v>
      </c>
      <c r="B27" s="49" t="n">
        <v>46313</v>
      </c>
      <c r="C27" s="25" t="s">
        <v>120</v>
      </c>
      <c r="D27" s="26" t="s">
        <v>871</v>
      </c>
      <c r="E27" s="24" t="n">
        <v>0</v>
      </c>
      <c r="F27" s="26" t="s">
        <v>123</v>
      </c>
    </row>
    <row r="28" customFormat="false" ht="21.75" hidden="false" customHeight="true" outlineLevel="0" collapsed="false">
      <c r="A28" s="25" t="s">
        <v>872</v>
      </c>
      <c r="B28" s="49" t="n">
        <v>46314</v>
      </c>
      <c r="C28" s="25" t="s">
        <v>130</v>
      </c>
      <c r="D28" s="26" t="s">
        <v>873</v>
      </c>
      <c r="E28" s="24" t="n">
        <v>0</v>
      </c>
      <c r="F28" s="26" t="s">
        <v>132</v>
      </c>
    </row>
    <row r="29" customFormat="false" ht="21.75" hidden="false" customHeight="true" outlineLevel="0" collapsed="false">
      <c r="A29" s="25" t="s">
        <v>874</v>
      </c>
      <c r="B29" s="49" t="n">
        <v>46315</v>
      </c>
      <c r="C29" s="25" t="s">
        <v>134</v>
      </c>
      <c r="D29" s="26" t="s">
        <v>875</v>
      </c>
      <c r="E29" s="24" t="n">
        <v>0</v>
      </c>
      <c r="F29" s="26" t="s">
        <v>136</v>
      </c>
    </row>
    <row r="30" customFormat="false" ht="21.75" hidden="false" customHeight="true" outlineLevel="0" collapsed="false">
      <c r="A30" s="25" t="s">
        <v>876</v>
      </c>
      <c r="B30" s="49" t="n">
        <v>46316</v>
      </c>
      <c r="C30" s="25" t="s">
        <v>138</v>
      </c>
      <c r="D30" s="26" t="s">
        <v>877</v>
      </c>
      <c r="E30" s="24" t="n">
        <v>0</v>
      </c>
      <c r="F30" s="26" t="s">
        <v>140</v>
      </c>
    </row>
    <row r="31" customFormat="false" ht="21.75" hidden="false" customHeight="true" outlineLevel="0" collapsed="false">
      <c r="A31" s="25" t="s">
        <v>878</v>
      </c>
      <c r="B31" s="49" t="n">
        <v>46334</v>
      </c>
      <c r="C31" s="25" t="s">
        <v>120</v>
      </c>
      <c r="D31" s="26" t="s">
        <v>879</v>
      </c>
      <c r="E31" s="24" t="n">
        <v>0</v>
      </c>
      <c r="F31" s="26" t="s">
        <v>283</v>
      </c>
    </row>
    <row r="32" customFormat="false" ht="21.75" hidden="false" customHeight="true" outlineLevel="0" collapsed="false">
      <c r="A32" s="25" t="s">
        <v>880</v>
      </c>
      <c r="B32" s="49" t="n">
        <v>46350</v>
      </c>
      <c r="C32" s="25" t="s">
        <v>134</v>
      </c>
      <c r="D32" s="26" t="s">
        <v>881</v>
      </c>
      <c r="E32" s="24" t="n">
        <v>0</v>
      </c>
      <c r="F32" s="26" t="s">
        <v>393</v>
      </c>
    </row>
    <row r="33" customFormat="false" ht="21.75" hidden="false" customHeight="true" outlineLevel="0" collapsed="false">
      <c r="A33" s="25" t="s">
        <v>882</v>
      </c>
      <c r="B33" s="49" t="n">
        <v>46381</v>
      </c>
      <c r="C33" s="25" t="s">
        <v>101</v>
      </c>
      <c r="D33" s="26" t="s">
        <v>883</v>
      </c>
      <c r="E33" s="24" t="n">
        <v>0</v>
      </c>
      <c r="F33" s="26" t="s">
        <v>461</v>
      </c>
    </row>
    <row r="34" customFormat="false" ht="21.75" hidden="false" customHeight="true" outlineLevel="0" collapsed="false">
      <c r="A34" s="25" t="s">
        <v>884</v>
      </c>
      <c r="B34" s="49" t="n">
        <v>46388</v>
      </c>
      <c r="C34" s="25" t="s">
        <v>101</v>
      </c>
      <c r="D34" s="26" t="s">
        <v>885</v>
      </c>
      <c r="E34" s="24" t="n">
        <v>0</v>
      </c>
      <c r="F34" s="26" t="s">
        <v>489</v>
      </c>
    </row>
    <row r="35" customFormat="false" ht="21.75" hidden="false" customHeight="true" outlineLevel="0" collapsed="false">
      <c r="A35" s="25" t="s">
        <v>886</v>
      </c>
      <c r="B35" s="49" t="n">
        <v>46401</v>
      </c>
      <c r="C35" s="25" t="s">
        <v>90</v>
      </c>
      <c r="D35" s="26" t="s">
        <v>887</v>
      </c>
      <c r="E35" s="24" t="n">
        <v>0</v>
      </c>
      <c r="F35" s="26" t="s">
        <v>532</v>
      </c>
    </row>
    <row r="36" customFormat="false" ht="21.75" hidden="false" customHeight="true" outlineLevel="0" collapsed="false">
      <c r="A36" s="25" t="s">
        <v>888</v>
      </c>
      <c r="B36" s="49" t="n">
        <v>46402</v>
      </c>
      <c r="C36" s="25" t="s">
        <v>101</v>
      </c>
      <c r="D36" s="26" t="s">
        <v>889</v>
      </c>
      <c r="E36" s="24" t="n">
        <v>0</v>
      </c>
      <c r="F36" s="26" t="s">
        <v>532</v>
      </c>
    </row>
    <row r="37" customFormat="false" ht="21.75" hidden="false" customHeight="true" outlineLevel="0" collapsed="false">
      <c r="A37" s="25" t="s">
        <v>890</v>
      </c>
      <c r="B37" s="49" t="n">
        <v>46403</v>
      </c>
      <c r="C37" s="25" t="s">
        <v>110</v>
      </c>
      <c r="D37" s="26" t="s">
        <v>891</v>
      </c>
      <c r="E37" s="24" t="n">
        <v>0</v>
      </c>
      <c r="F37" s="26" t="s">
        <v>532</v>
      </c>
    </row>
    <row r="38" customFormat="false" ht="21.75" hidden="false" customHeight="true" outlineLevel="0" collapsed="false">
      <c r="A38" s="25" t="s">
        <v>892</v>
      </c>
      <c r="B38" s="49" t="n">
        <v>46413</v>
      </c>
      <c r="C38" s="25" t="s">
        <v>134</v>
      </c>
      <c r="D38" s="26" t="s">
        <v>893</v>
      </c>
      <c r="E38" s="24" t="n">
        <v>0</v>
      </c>
      <c r="F38" s="26" t="s">
        <v>576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2026-10-15T10:44:19Z</dcterms:created>
  <dc:creator>openpyxl</dc:creator>
  <dc:description/>
  <dc:language>en-US</dc:language>
  <cp:lastModifiedBy/>
  <dcterms:modified xsi:type="dcterms:W3CDTF">2026-10-15T10:44:19Z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